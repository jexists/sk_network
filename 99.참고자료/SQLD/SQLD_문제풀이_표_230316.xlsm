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QLD\"/>
    </mc:Choice>
  </mc:AlternateContent>
  <xr:revisionPtr revIDLastSave="0" documentId="13_ncr:1_{075705E3-00F3-49B8-B0B7-EE12D21908C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4" i="1"/>
  <c r="Z10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4" i="1"/>
  <c r="AK5" i="1" l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4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9" i="1"/>
  <c r="Z8" i="1"/>
  <c r="Z7" i="1"/>
  <c r="Z6" i="1"/>
  <c r="Z5" i="1"/>
  <c r="Z4" i="1"/>
  <c r="P26" i="1"/>
  <c r="P27" i="1"/>
  <c r="P28" i="1"/>
  <c r="P29" i="1"/>
  <c r="P30" i="1"/>
  <c r="P31" i="1"/>
  <c r="P32" i="1"/>
  <c r="P33" i="1"/>
  <c r="P34" i="1"/>
  <c r="P35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K4" i="1"/>
  <c r="F4" i="1"/>
</calcChain>
</file>

<file path=xl/sharedStrings.xml><?xml version="1.0" encoding="utf-8"?>
<sst xmlns="http://schemas.openxmlformats.org/spreadsheetml/2006/main" count="287" uniqueCount="62">
  <si>
    <t>번호</t>
    <phoneticPr fontId="1" type="noConversion"/>
  </si>
  <si>
    <t>답</t>
    <phoneticPr fontId="1" type="noConversion"/>
  </si>
  <si>
    <t>1과목(1장)</t>
    <phoneticPr fontId="1" type="noConversion"/>
  </si>
  <si>
    <t>1과목(2장)</t>
    <phoneticPr fontId="1" type="noConversion"/>
  </si>
  <si>
    <t>2과목(1장)</t>
    <phoneticPr fontId="1" type="noConversion"/>
  </si>
  <si>
    <t>2과목(2장)</t>
    <phoneticPr fontId="1" type="noConversion"/>
  </si>
  <si>
    <t>2과목(3장)</t>
    <phoneticPr fontId="1" type="noConversion"/>
  </si>
  <si>
    <t>속성</t>
    <phoneticPr fontId="1" type="noConversion"/>
  </si>
  <si>
    <t>3, 4</t>
    <phoneticPr fontId="1" type="noConversion"/>
  </si>
  <si>
    <t>답</t>
    <phoneticPr fontId="1" type="noConversion"/>
  </si>
  <si>
    <t>ATTRIBUTE</t>
    <phoneticPr fontId="1" type="noConversion"/>
  </si>
  <si>
    <t>3,4</t>
    <phoneticPr fontId="1" type="noConversion"/>
  </si>
  <si>
    <t>반정규화</t>
    <phoneticPr fontId="1" type="noConversion"/>
  </si>
  <si>
    <t>역정규화</t>
    <phoneticPr fontId="1" type="noConversion"/>
  </si>
  <si>
    <t>파티셔닝</t>
    <phoneticPr fontId="1" type="noConversion"/>
  </si>
  <si>
    <t>Partitionning</t>
    <phoneticPr fontId="1" type="noConversion"/>
  </si>
  <si>
    <t>2,4</t>
    <phoneticPr fontId="1" type="noConversion"/>
  </si>
  <si>
    <t>2, 4</t>
    <phoneticPr fontId="1" type="noConversion"/>
  </si>
  <si>
    <t>""</t>
    <phoneticPr fontId="1" type="noConversion"/>
  </si>
  <si>
    <t>TCL</t>
    <phoneticPr fontId="1" type="noConversion"/>
  </si>
  <si>
    <t>1, 2</t>
    <phoneticPr fontId="1" type="noConversion"/>
  </si>
  <si>
    <t>1,2</t>
    <phoneticPr fontId="1" type="noConversion"/>
  </si>
  <si>
    <t>1, 3</t>
    <phoneticPr fontId="1" type="noConversion"/>
  </si>
  <si>
    <t>1,3</t>
    <phoneticPr fontId="1" type="noConversion"/>
  </si>
  <si>
    <t>2, 3</t>
    <phoneticPr fontId="1" type="noConversion"/>
  </si>
  <si>
    <t>2,3</t>
    <phoneticPr fontId="1" type="noConversion"/>
  </si>
  <si>
    <t>ALTER, DROP COLUMN</t>
    <phoneticPr fontId="1" type="noConversion"/>
  </si>
  <si>
    <t>ALTER,DROP COLUMN</t>
    <phoneticPr fontId="1" type="noConversion"/>
  </si>
  <si>
    <t>RENAME STADIUM TO STADIUM_JSC;</t>
    <phoneticPr fontId="1" type="noConversion"/>
  </si>
  <si>
    <t>DISTINCT</t>
    <phoneticPr fontId="1" type="noConversion"/>
  </si>
  <si>
    <t>1, 4</t>
    <phoneticPr fontId="1" type="noConversion"/>
  </si>
  <si>
    <t>1,4</t>
    <phoneticPr fontId="1" type="noConversion"/>
  </si>
  <si>
    <t>트랜젝션, 커밋, 롤백</t>
    <phoneticPr fontId="1" type="noConversion"/>
  </si>
  <si>
    <t>Transaction, Commit, Rollback</t>
    <phoneticPr fontId="1" type="noConversion"/>
  </si>
  <si>
    <t>LCD-TV</t>
    <phoneticPr fontId="1" type="noConversion"/>
  </si>
  <si>
    <t>WHERE</t>
    <phoneticPr fontId="1" type="noConversion"/>
  </si>
  <si>
    <t>WHERE 절</t>
    <phoneticPr fontId="1" type="noConversion"/>
  </si>
  <si>
    <t>LOC WHEN 'NEW YORK' THEN 'EAST'</t>
    <phoneticPr fontId="1" type="noConversion"/>
  </si>
  <si>
    <t>NULLIF</t>
    <phoneticPr fontId="1" type="noConversion"/>
  </si>
  <si>
    <t>CROSS JOIN</t>
    <phoneticPr fontId="1" type="noConversion"/>
  </si>
  <si>
    <t>LEFT JOIN</t>
    <phoneticPr fontId="1" type="noConversion"/>
  </si>
  <si>
    <t>LEFT OUTER JOIN</t>
    <phoneticPr fontId="1" type="noConversion"/>
  </si>
  <si>
    <t>C</t>
    <phoneticPr fontId="1" type="noConversion"/>
  </si>
  <si>
    <t>ROLLUP</t>
    <phoneticPr fontId="1" type="noConversion"/>
  </si>
  <si>
    <t>GRANT, REVOKE</t>
    <phoneticPr fontId="1" type="noConversion"/>
  </si>
  <si>
    <t>ROLE</t>
    <phoneticPr fontId="1" type="noConversion"/>
  </si>
  <si>
    <t>CBO</t>
    <phoneticPr fontId="1" type="noConversion"/>
  </si>
  <si>
    <t>비용기반 옵티마이저</t>
    <phoneticPr fontId="1" type="noConversion"/>
  </si>
  <si>
    <t>Cost Based Optimizer</t>
    <phoneticPr fontId="1" type="noConversion"/>
  </si>
  <si>
    <t>3, 4, 2</t>
    <phoneticPr fontId="1" type="noConversion"/>
  </si>
  <si>
    <t>3,4,2</t>
    <phoneticPr fontId="1" type="noConversion"/>
  </si>
  <si>
    <t>'""</t>
  </si>
  <si>
    <t>1, 2</t>
    <phoneticPr fontId="1" type="noConversion"/>
  </si>
  <si>
    <t>※ 주관식 특성상 답이 잘 안맞을 수도 있음</t>
    <phoneticPr fontId="1" type="noConversion"/>
  </si>
  <si>
    <t xml:space="preserve">     / 64</t>
  </si>
  <si>
    <t>NVL, NULLIF, COALESCE</t>
    <phoneticPr fontId="1" type="noConversion"/>
  </si>
  <si>
    <t>ISNULL, NULLIF, COALESCE</t>
    <phoneticPr fontId="1" type="noConversion"/>
  </si>
  <si>
    <t>※ ㄱ,ㄴ,ㄷ 답은 답만 기입</t>
    <phoneticPr fontId="1" type="noConversion"/>
  </si>
  <si>
    <t xml:space="preserve">     / 30</t>
  </si>
  <si>
    <t xml:space="preserve">     / 22</t>
  </si>
  <si>
    <t xml:space="preserve">     / 63</t>
  </si>
  <si>
    <t xml:space="preserve">     /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</si>
</sst>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7" xfId="0" quotePrefix="1" applyBorder="1" applyAlignment="1" applyProtection="1">
      <alignment horizontal="center" vertical="center"/>
      <protection locked="0"/>
    </xf>
    <xf numFmtId="0" fontId="0" fillId="0" borderId="12" xfId="0" quotePrefix="1" applyBorder="1" applyAlignment="1" applyProtection="1">
      <alignment horizontal="center" vertical="center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 hidden="1"/>
    </xf>
    <xf numFmtId="0" fontId="0" fillId="0" borderId="7" xfId="0" applyBorder="1" applyAlignment="1" applyProtection="1">
      <alignment horizontal="center" vertical="center"/>
      <protection locked="0" hidden="1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3" fillId="0" borderId="4" xfId="0" quotePrefix="1" applyFont="1" applyBorder="1" applyAlignment="1" applyProtection="1">
      <alignment horizontal="center" vertical="center"/>
      <protection locked="0" hidden="1"/>
    </xf>
    <xf numFmtId="0" fontId="0" fillId="0" borderId="5" xfId="0" applyBorder="1" applyAlignment="1" applyProtection="1">
      <alignment horizontal="center" vertical="center"/>
      <protection locked="0" hidden="1"/>
    </xf>
    <xf numFmtId="0" fontId="0" fillId="0" borderId="6" xfId="0" applyBorder="1" applyAlignment="1" applyProtection="1">
      <alignment horizontal="center" vertical="center"/>
      <protection locked="0" hidden="1"/>
    </xf>
    <xf numFmtId="0" fontId="0" fillId="0" borderId="7" xfId="0" applyBorder="1" applyAlignment="1" applyProtection="1">
      <alignment horizontal="center" vertical="center"/>
      <protection locked="0" hidden="1"/>
    </xf>
  </cellXfs>
  <cellStyles count="1">
    <cellStyle name="표준" xfId="0" builtinId="0"/>
  </cellStyles>
  <dxfs count="76"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22860</xdr:colOff>
          <xdr:row>1</xdr:row>
          <xdr:rowOff>190500</xdr:rowOff>
        </xdr:from>
        <xdr:to>
          <xdr:col>41</xdr:col>
          <xdr:colOff>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297180</xdr:colOff>
          <xdr:row>2</xdr:row>
          <xdr:rowOff>7620</xdr:rowOff>
        </xdr:from>
        <xdr:to>
          <xdr:col>42</xdr:col>
          <xdr:colOff>670560</xdr:colOff>
          <xdr:row>4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리셋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5</xdr:row>
          <xdr:rowOff>198120</xdr:rowOff>
        </xdr:from>
        <xdr:to>
          <xdr:col>40</xdr:col>
          <xdr:colOff>655320</xdr:colOff>
          <xdr:row>7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7620</xdr:colOff>
          <xdr:row>9</xdr:row>
          <xdr:rowOff>190500</xdr:rowOff>
        </xdr:from>
        <xdr:to>
          <xdr:col>41</xdr:col>
          <xdr:colOff>0</xdr:colOff>
          <xdr:row>11</xdr:row>
          <xdr:rowOff>22860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14</xdr:row>
          <xdr:rowOff>0</xdr:rowOff>
        </xdr:from>
        <xdr:to>
          <xdr:col>40</xdr:col>
          <xdr:colOff>655320</xdr:colOff>
          <xdr:row>15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7620</xdr:colOff>
          <xdr:row>17</xdr:row>
          <xdr:rowOff>198120</xdr:rowOff>
        </xdr:from>
        <xdr:to>
          <xdr:col>41</xdr:col>
          <xdr:colOff>0</xdr:colOff>
          <xdr:row>19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O37"/>
  <sheetViews>
    <sheetView tabSelected="1" topLeftCell="B1" workbookViewId="0">
      <selection activeCell="V1" sqref="V1"/>
    </sheetView>
  </sheetViews>
  <sheetFormatPr defaultRowHeight="17.399999999999999" x14ac:dyDescent="0.4"/>
  <cols>
    <col min="1" max="1" width="5.09765625" customWidth="1"/>
    <col min="3" max="3" width="9" customWidth="1"/>
    <col min="4" max="5" width="9" hidden="1" customWidth="1"/>
    <col min="6" max="6" width="0.8984375" customWidth="1"/>
    <col min="9" max="10" width="9" hidden="1" customWidth="1"/>
    <col min="11" max="11" width="0.8984375" customWidth="1"/>
    <col min="12" max="13" width="9" customWidth="1"/>
    <col min="14" max="15" width="9" hidden="1" customWidth="1"/>
    <col min="16" max="16" width="0.8984375" customWidth="1"/>
    <col min="17" max="18" width="9" customWidth="1"/>
    <col min="19" max="20" width="9" hidden="1" customWidth="1"/>
    <col min="21" max="21" width="0.8984375" customWidth="1"/>
    <col min="22" max="23" width="9" customWidth="1"/>
    <col min="24" max="25" width="9" hidden="1" customWidth="1"/>
    <col min="26" max="26" width="0.8984375" customWidth="1"/>
    <col min="27" max="28" width="9" customWidth="1"/>
    <col min="29" max="30" width="9" hidden="1" customWidth="1"/>
    <col min="31" max="31" width="0.8984375" customWidth="1"/>
    <col min="32" max="33" width="9" customWidth="1"/>
    <col min="34" max="36" width="9" hidden="1" customWidth="1"/>
    <col min="37" max="37" width="0.8984375" customWidth="1"/>
  </cols>
  <sheetData>
    <row r="1" spans="2:41" ht="18" thickBot="1" x14ac:dyDescent="0.45"/>
    <row r="2" spans="2:41" x14ac:dyDescent="0.4">
      <c r="B2" s="26" t="s">
        <v>2</v>
      </c>
      <c r="C2" s="27"/>
      <c r="D2" s="27"/>
      <c r="E2" s="27"/>
      <c r="F2" s="28"/>
      <c r="G2" s="33" t="s">
        <v>3</v>
      </c>
      <c r="H2" s="27"/>
      <c r="I2" s="27"/>
      <c r="J2" s="27"/>
      <c r="K2" s="32"/>
      <c r="L2" s="29" t="s">
        <v>4</v>
      </c>
      <c r="M2" s="30"/>
      <c r="N2" s="30"/>
      <c r="O2" s="30"/>
      <c r="P2" s="30"/>
      <c r="Q2" s="30"/>
      <c r="R2" s="31"/>
      <c r="S2" s="31"/>
      <c r="T2" s="31"/>
      <c r="U2" s="32"/>
      <c r="V2" s="29" t="s">
        <v>5</v>
      </c>
      <c r="W2" s="30"/>
      <c r="X2" s="30"/>
      <c r="Y2" s="30"/>
      <c r="Z2" s="30"/>
      <c r="AA2" s="30"/>
      <c r="AB2" s="31"/>
      <c r="AC2" s="31"/>
      <c r="AD2" s="31"/>
      <c r="AE2" s="32"/>
      <c r="AF2" s="29" t="s">
        <v>6</v>
      </c>
      <c r="AG2" s="27"/>
      <c r="AH2" s="27"/>
      <c r="AI2" s="27"/>
      <c r="AJ2" s="27"/>
      <c r="AK2" s="32"/>
      <c r="AM2" s="29" t="s">
        <v>2</v>
      </c>
      <c r="AN2" s="32"/>
    </row>
    <row r="3" spans="2:41" ht="16.5" customHeight="1" x14ac:dyDescent="0.4">
      <c r="B3" s="10" t="s">
        <v>0</v>
      </c>
      <c r="C3" s="1" t="s">
        <v>1</v>
      </c>
      <c r="D3" s="1"/>
      <c r="E3" s="8"/>
      <c r="F3" s="3"/>
      <c r="G3" s="11" t="s">
        <v>0</v>
      </c>
      <c r="H3" s="6" t="s">
        <v>9</v>
      </c>
      <c r="I3" s="6"/>
      <c r="J3" s="6"/>
      <c r="K3" s="3"/>
      <c r="L3" s="10" t="s">
        <v>0</v>
      </c>
      <c r="M3" s="1" t="s">
        <v>1</v>
      </c>
      <c r="N3" s="1"/>
      <c r="O3" s="1"/>
      <c r="P3" s="1"/>
      <c r="Q3" s="1" t="s">
        <v>0</v>
      </c>
      <c r="R3" s="8" t="s">
        <v>9</v>
      </c>
      <c r="S3" s="8"/>
      <c r="T3" s="9"/>
      <c r="U3" s="3"/>
      <c r="V3" s="10" t="s">
        <v>0</v>
      </c>
      <c r="W3" s="1" t="s">
        <v>1</v>
      </c>
      <c r="X3" s="1"/>
      <c r="Y3" s="1"/>
      <c r="Z3" s="1"/>
      <c r="AA3" s="1" t="s">
        <v>0</v>
      </c>
      <c r="AB3" s="8" t="s">
        <v>9</v>
      </c>
      <c r="AC3" s="8"/>
      <c r="AD3" s="8"/>
      <c r="AE3" s="3"/>
      <c r="AF3" s="10" t="s">
        <v>0</v>
      </c>
      <c r="AG3" s="6" t="s">
        <v>9</v>
      </c>
      <c r="AH3" s="6"/>
      <c r="AI3" s="6"/>
      <c r="AJ3" s="6"/>
      <c r="AK3" s="3"/>
      <c r="AL3" s="15"/>
      <c r="AM3" s="34" t="s">
        <v>58</v>
      </c>
      <c r="AN3" s="35"/>
      <c r="AO3" s="7"/>
    </row>
    <row r="4" spans="2:41" ht="18" thickBot="1" x14ac:dyDescent="0.45">
      <c r="B4" s="10">
        <v>1</v>
      </c>
      <c r="C4" s="16"/>
      <c r="D4" s="16">
        <v>2</v>
      </c>
      <c r="E4" s="21" t="s">
        <v>18</v>
      </c>
      <c r="F4" s="24">
        <f>IF(OR(C4=D4,C4=E4),1,0)</f>
        <v>0</v>
      </c>
      <c r="G4" s="11">
        <v>31</v>
      </c>
      <c r="H4" s="16"/>
      <c r="I4" s="17">
        <v>1</v>
      </c>
      <c r="J4" s="21" t="s">
        <v>18</v>
      </c>
      <c r="K4" s="24">
        <f>IF(OR(H4=I4,H4=J4),1,0)</f>
        <v>0</v>
      </c>
      <c r="L4" s="10">
        <v>1</v>
      </c>
      <c r="M4" s="16"/>
      <c r="N4" s="16">
        <v>4</v>
      </c>
      <c r="O4" s="21" t="s">
        <v>18</v>
      </c>
      <c r="P4" s="24">
        <f>IF(OR(M4=N4,M4=O4),1,0)</f>
        <v>0</v>
      </c>
      <c r="Q4" s="1">
        <v>33</v>
      </c>
      <c r="R4" s="16"/>
      <c r="S4" s="19" t="s">
        <v>35</v>
      </c>
      <c r="T4" s="19" t="s">
        <v>36</v>
      </c>
      <c r="U4" s="24">
        <f>IF(OR(R4=S4,R4=T4),1,0)</f>
        <v>0</v>
      </c>
      <c r="V4" s="10">
        <v>65</v>
      </c>
      <c r="W4" s="16"/>
      <c r="X4" s="16">
        <v>2</v>
      </c>
      <c r="Y4" s="21" t="s">
        <v>18</v>
      </c>
      <c r="Z4" s="24">
        <f>IF(OR(W4=X4,W4=Y4),1,0)</f>
        <v>0</v>
      </c>
      <c r="AA4" s="1">
        <v>97</v>
      </c>
      <c r="AB4" s="16"/>
      <c r="AC4" s="19">
        <v>3</v>
      </c>
      <c r="AD4" s="21" t="s">
        <v>18</v>
      </c>
      <c r="AE4" s="24">
        <f t="shared" ref="AE4:AE34" si="0">IF(OR(AB4=AC4,AB4=AD4),1,0)</f>
        <v>0</v>
      </c>
      <c r="AF4" s="10">
        <v>128</v>
      </c>
      <c r="AG4" s="16"/>
      <c r="AH4" s="17" t="s">
        <v>46</v>
      </c>
      <c r="AI4" s="17" t="s">
        <v>47</v>
      </c>
      <c r="AJ4" s="17" t="s">
        <v>48</v>
      </c>
      <c r="AK4" s="24">
        <f>IF(OR(AG4=AH4,OR(AG4=AI4,AG4=AJ4)),1,0)</f>
        <v>0</v>
      </c>
      <c r="AM4" s="36"/>
      <c r="AN4" s="37"/>
    </row>
    <row r="5" spans="2:41" ht="18" thickBot="1" x14ac:dyDescent="0.45">
      <c r="B5" s="10">
        <v>2</v>
      </c>
      <c r="C5" s="16"/>
      <c r="D5" s="16">
        <v>3</v>
      </c>
      <c r="E5" s="21" t="s">
        <v>18</v>
      </c>
      <c r="F5" s="24">
        <f t="shared" ref="F5:F33" si="1">IF(OR(C5=D5,C5=E5),1,0)</f>
        <v>0</v>
      </c>
      <c r="G5" s="11">
        <v>32</v>
      </c>
      <c r="H5" s="16"/>
      <c r="I5" s="17" t="s">
        <v>12</v>
      </c>
      <c r="J5" s="17" t="s">
        <v>13</v>
      </c>
      <c r="K5" s="24">
        <f t="shared" ref="K5:K25" si="2">IF(OR(H5=I5,H5=J5),1,0)</f>
        <v>0</v>
      </c>
      <c r="L5" s="10">
        <v>2</v>
      </c>
      <c r="M5" s="16"/>
      <c r="N5" s="16">
        <v>2</v>
      </c>
      <c r="O5" s="21" t="s">
        <v>18</v>
      </c>
      <c r="P5" s="24">
        <f t="shared" ref="P5:P35" si="3">IF(OR(M5=N5,M5=O5),1,0)</f>
        <v>0</v>
      </c>
      <c r="Q5" s="1">
        <v>34</v>
      </c>
      <c r="R5" s="16"/>
      <c r="S5" s="19">
        <v>2</v>
      </c>
      <c r="T5" s="21" t="s">
        <v>18</v>
      </c>
      <c r="U5" s="24">
        <f t="shared" ref="U5:U35" si="4">IF(OR(R5=S5,R5=T5),1,0)</f>
        <v>0</v>
      </c>
      <c r="V5" s="10">
        <v>66</v>
      </c>
      <c r="W5" s="16"/>
      <c r="X5" s="16" t="s">
        <v>8</v>
      </c>
      <c r="Y5" s="16" t="s">
        <v>11</v>
      </c>
      <c r="Z5" s="24">
        <f t="shared" ref="Z5:Z35" si="5">IF(OR(W5=X5,W5=Y5),1,0)</f>
        <v>0</v>
      </c>
      <c r="AA5" s="1">
        <v>98</v>
      </c>
      <c r="AB5" s="16"/>
      <c r="AC5" s="19">
        <v>3</v>
      </c>
      <c r="AD5" s="21" t="s">
        <v>18</v>
      </c>
      <c r="AE5" s="24">
        <f t="shared" si="0"/>
        <v>0</v>
      </c>
      <c r="AF5" s="10">
        <v>129</v>
      </c>
      <c r="AG5" s="16"/>
      <c r="AH5" s="16">
        <v>4</v>
      </c>
      <c r="AI5" s="16" t="s">
        <v>51</v>
      </c>
      <c r="AJ5" s="21" t="s">
        <v>18</v>
      </c>
      <c r="AK5" s="24">
        <f t="shared" ref="AK5:AK22" si="6">IF(OR(AG5=AH5,OR(AG5=AI5,AG5=AJ5)),1,0)</f>
        <v>0</v>
      </c>
    </row>
    <row r="6" spans="2:41" x14ac:dyDescent="0.4">
      <c r="B6" s="10">
        <v>3</v>
      </c>
      <c r="C6" s="16"/>
      <c r="D6" s="16">
        <v>3</v>
      </c>
      <c r="E6" s="21" t="s">
        <v>18</v>
      </c>
      <c r="F6" s="24">
        <f t="shared" si="1"/>
        <v>0</v>
      </c>
      <c r="G6" s="11">
        <v>33</v>
      </c>
      <c r="H6" s="16"/>
      <c r="I6" s="17">
        <v>4</v>
      </c>
      <c r="J6" s="21" t="s">
        <v>18</v>
      </c>
      <c r="K6" s="24">
        <f t="shared" si="2"/>
        <v>0</v>
      </c>
      <c r="L6" s="10">
        <v>3</v>
      </c>
      <c r="M6" s="16"/>
      <c r="N6" s="16" t="s">
        <v>19</v>
      </c>
      <c r="O6" s="21" t="s">
        <v>18</v>
      </c>
      <c r="P6" s="24">
        <f t="shared" si="3"/>
        <v>0</v>
      </c>
      <c r="Q6" s="1">
        <v>35</v>
      </c>
      <c r="R6" s="16"/>
      <c r="S6" s="19">
        <v>4</v>
      </c>
      <c r="T6" s="21" t="s">
        <v>18</v>
      </c>
      <c r="U6" s="24">
        <f t="shared" si="4"/>
        <v>0</v>
      </c>
      <c r="V6" s="10">
        <v>67</v>
      </c>
      <c r="W6" s="16"/>
      <c r="X6" s="16" t="s">
        <v>52</v>
      </c>
      <c r="Y6" s="16" t="s">
        <v>21</v>
      </c>
      <c r="Z6" s="24">
        <f t="shared" si="5"/>
        <v>0</v>
      </c>
      <c r="AA6" s="1">
        <v>99</v>
      </c>
      <c r="AB6" s="16"/>
      <c r="AC6" s="19">
        <v>2</v>
      </c>
      <c r="AD6" s="21" t="s">
        <v>18</v>
      </c>
      <c r="AE6" s="24">
        <f t="shared" si="0"/>
        <v>0</v>
      </c>
      <c r="AF6" s="10">
        <v>130</v>
      </c>
      <c r="AG6" s="16"/>
      <c r="AH6" s="16" t="s">
        <v>49</v>
      </c>
      <c r="AI6" s="16" t="s">
        <v>50</v>
      </c>
      <c r="AJ6" s="21" t="s">
        <v>18</v>
      </c>
      <c r="AK6" s="24">
        <f t="shared" si="6"/>
        <v>0</v>
      </c>
      <c r="AM6" s="29" t="s">
        <v>3</v>
      </c>
      <c r="AN6" s="32"/>
    </row>
    <row r="7" spans="2:41" ht="16.5" customHeight="1" x14ac:dyDescent="0.4">
      <c r="B7" s="10">
        <v>4</v>
      </c>
      <c r="C7" s="16"/>
      <c r="D7" s="16">
        <v>2</v>
      </c>
      <c r="E7" s="21" t="s">
        <v>18</v>
      </c>
      <c r="F7" s="24">
        <f t="shared" si="1"/>
        <v>0</v>
      </c>
      <c r="G7" s="11">
        <v>34</v>
      </c>
      <c r="H7" s="16"/>
      <c r="I7" s="17">
        <v>1</v>
      </c>
      <c r="J7" s="21" t="s">
        <v>18</v>
      </c>
      <c r="K7" s="24">
        <f t="shared" si="2"/>
        <v>0</v>
      </c>
      <c r="L7" s="10">
        <v>4</v>
      </c>
      <c r="M7" s="16"/>
      <c r="N7" s="16">
        <v>1</v>
      </c>
      <c r="O7" s="21" t="s">
        <v>18</v>
      </c>
      <c r="P7" s="24">
        <f t="shared" si="3"/>
        <v>0</v>
      </c>
      <c r="Q7" s="1">
        <v>36</v>
      </c>
      <c r="R7" s="16"/>
      <c r="S7" s="19">
        <v>1</v>
      </c>
      <c r="T7" s="21" t="s">
        <v>18</v>
      </c>
      <c r="U7" s="24">
        <f t="shared" si="4"/>
        <v>0</v>
      </c>
      <c r="V7" s="10">
        <v>68</v>
      </c>
      <c r="W7" s="16"/>
      <c r="X7" s="16">
        <v>2</v>
      </c>
      <c r="Y7" s="21" t="s">
        <v>18</v>
      </c>
      <c r="Z7" s="24">
        <f t="shared" si="5"/>
        <v>0</v>
      </c>
      <c r="AA7" s="1">
        <v>100</v>
      </c>
      <c r="AB7" s="16"/>
      <c r="AC7" s="19">
        <v>3</v>
      </c>
      <c r="AD7" s="21" t="s">
        <v>18</v>
      </c>
      <c r="AE7" s="24">
        <f t="shared" si="0"/>
        <v>0</v>
      </c>
      <c r="AF7" s="10">
        <v>131</v>
      </c>
      <c r="AG7" s="16"/>
      <c r="AH7" s="16">
        <v>3</v>
      </c>
      <c r="AI7" s="16" t="s">
        <v>51</v>
      </c>
      <c r="AJ7" s="21" t="s">
        <v>18</v>
      </c>
      <c r="AK7" s="24">
        <f t="shared" si="6"/>
        <v>0</v>
      </c>
      <c r="AL7" s="15"/>
      <c r="AM7" s="34" t="s">
        <v>59</v>
      </c>
      <c r="AN7" s="35"/>
    </row>
    <row r="8" spans="2:41" ht="18" thickBot="1" x14ac:dyDescent="0.45">
      <c r="B8" s="10">
        <v>5</v>
      </c>
      <c r="C8" s="16"/>
      <c r="D8" s="16">
        <v>1</v>
      </c>
      <c r="E8" s="21" t="s">
        <v>18</v>
      </c>
      <c r="F8" s="24">
        <f t="shared" si="1"/>
        <v>0</v>
      </c>
      <c r="G8" s="11">
        <v>35</v>
      </c>
      <c r="H8" s="16"/>
      <c r="I8" s="17">
        <v>3</v>
      </c>
      <c r="J8" s="21" t="s">
        <v>18</v>
      </c>
      <c r="K8" s="24">
        <f t="shared" si="2"/>
        <v>0</v>
      </c>
      <c r="L8" s="10">
        <v>5</v>
      </c>
      <c r="M8" s="16"/>
      <c r="N8" s="16" t="s">
        <v>20</v>
      </c>
      <c r="O8" s="16" t="s">
        <v>21</v>
      </c>
      <c r="P8" s="24">
        <f t="shared" si="3"/>
        <v>0</v>
      </c>
      <c r="Q8" s="1">
        <v>37</v>
      </c>
      <c r="R8" s="16"/>
      <c r="S8" s="19">
        <v>4</v>
      </c>
      <c r="T8" s="21" t="s">
        <v>18</v>
      </c>
      <c r="U8" s="24">
        <f t="shared" si="4"/>
        <v>0</v>
      </c>
      <c r="V8" s="10">
        <v>69</v>
      </c>
      <c r="W8" s="16"/>
      <c r="X8" s="16">
        <v>3</v>
      </c>
      <c r="Y8" s="21" t="s">
        <v>18</v>
      </c>
      <c r="Z8" s="24">
        <f t="shared" si="5"/>
        <v>0</v>
      </c>
      <c r="AA8" s="1">
        <v>101</v>
      </c>
      <c r="AB8" s="16"/>
      <c r="AC8" s="19">
        <v>2</v>
      </c>
      <c r="AD8" s="21" t="s">
        <v>18</v>
      </c>
      <c r="AE8" s="24">
        <f t="shared" si="0"/>
        <v>0</v>
      </c>
      <c r="AF8" s="10">
        <v>132</v>
      </c>
      <c r="AG8" s="16"/>
      <c r="AH8" s="16" t="s">
        <v>17</v>
      </c>
      <c r="AI8" s="16" t="s">
        <v>16</v>
      </c>
      <c r="AJ8" s="21" t="s">
        <v>18</v>
      </c>
      <c r="AK8" s="24">
        <f t="shared" si="6"/>
        <v>0</v>
      </c>
      <c r="AM8" s="36"/>
      <c r="AN8" s="37"/>
    </row>
    <row r="9" spans="2:41" ht="18" thickBot="1" x14ac:dyDescent="0.45">
      <c r="B9" s="10">
        <v>6</v>
      </c>
      <c r="C9" s="16"/>
      <c r="D9" s="16">
        <v>2</v>
      </c>
      <c r="E9" s="21" t="s">
        <v>18</v>
      </c>
      <c r="F9" s="24">
        <f t="shared" si="1"/>
        <v>0</v>
      </c>
      <c r="G9" s="11">
        <v>36</v>
      </c>
      <c r="H9" s="16"/>
      <c r="I9" s="17">
        <v>3</v>
      </c>
      <c r="J9" s="21" t="s">
        <v>18</v>
      </c>
      <c r="K9" s="24">
        <f t="shared" si="2"/>
        <v>0</v>
      </c>
      <c r="L9" s="10">
        <v>6</v>
      </c>
      <c r="M9" s="16"/>
      <c r="N9" s="16">
        <v>4</v>
      </c>
      <c r="O9" s="21" t="s">
        <v>18</v>
      </c>
      <c r="P9" s="24">
        <f t="shared" si="3"/>
        <v>0</v>
      </c>
      <c r="Q9" s="1">
        <v>38</v>
      </c>
      <c r="R9" s="16"/>
      <c r="S9" s="19">
        <v>4</v>
      </c>
      <c r="T9" s="21" t="s">
        <v>18</v>
      </c>
      <c r="U9" s="24">
        <f t="shared" si="4"/>
        <v>0</v>
      </c>
      <c r="V9" s="10">
        <v>70</v>
      </c>
      <c r="W9" s="16"/>
      <c r="X9" s="16">
        <v>1</v>
      </c>
      <c r="Y9" s="21" t="s">
        <v>18</v>
      </c>
      <c r="Z9" s="24">
        <f t="shared" si="5"/>
        <v>0</v>
      </c>
      <c r="AA9" s="1">
        <v>102</v>
      </c>
      <c r="AB9" s="16"/>
      <c r="AC9" s="19">
        <v>3</v>
      </c>
      <c r="AD9" s="21" t="s">
        <v>18</v>
      </c>
      <c r="AE9" s="24">
        <f t="shared" si="0"/>
        <v>0</v>
      </c>
      <c r="AF9" s="10">
        <v>133</v>
      </c>
      <c r="AG9" s="16"/>
      <c r="AH9" s="16" t="s">
        <v>30</v>
      </c>
      <c r="AI9" s="16" t="s">
        <v>31</v>
      </c>
      <c r="AJ9" s="21" t="s">
        <v>18</v>
      </c>
      <c r="AK9" s="24">
        <f t="shared" si="6"/>
        <v>0</v>
      </c>
    </row>
    <row r="10" spans="2:41" x14ac:dyDescent="0.4">
      <c r="B10" s="10">
        <v>7</v>
      </c>
      <c r="C10" s="16"/>
      <c r="D10" s="16">
        <v>4</v>
      </c>
      <c r="E10" s="21" t="s">
        <v>18</v>
      </c>
      <c r="F10" s="24">
        <f t="shared" si="1"/>
        <v>0</v>
      </c>
      <c r="G10" s="11">
        <v>37</v>
      </c>
      <c r="H10" s="16"/>
      <c r="I10" s="17">
        <v>4</v>
      </c>
      <c r="J10" s="21" t="s">
        <v>18</v>
      </c>
      <c r="K10" s="24">
        <f t="shared" si="2"/>
        <v>0</v>
      </c>
      <c r="L10" s="10">
        <v>7</v>
      </c>
      <c r="M10" s="16"/>
      <c r="N10" s="16">
        <v>4</v>
      </c>
      <c r="O10" s="21" t="s">
        <v>18</v>
      </c>
      <c r="P10" s="24">
        <f t="shared" si="3"/>
        <v>0</v>
      </c>
      <c r="Q10" s="1">
        <v>39</v>
      </c>
      <c r="R10" s="16"/>
      <c r="S10" s="19">
        <v>4</v>
      </c>
      <c r="T10" s="21" t="s">
        <v>18</v>
      </c>
      <c r="U10" s="24">
        <f t="shared" si="4"/>
        <v>0</v>
      </c>
      <c r="V10" s="10">
        <v>71</v>
      </c>
      <c r="W10" s="16"/>
      <c r="X10" s="16" t="s">
        <v>39</v>
      </c>
      <c r="Y10" s="21" t="s">
        <v>18</v>
      </c>
      <c r="Z10" s="24">
        <f t="shared" si="5"/>
        <v>0</v>
      </c>
      <c r="AA10" s="1">
        <v>103</v>
      </c>
      <c r="AB10" s="16"/>
      <c r="AC10" s="19">
        <v>2</v>
      </c>
      <c r="AD10" s="21" t="s">
        <v>18</v>
      </c>
      <c r="AE10" s="24">
        <f t="shared" si="0"/>
        <v>0</v>
      </c>
      <c r="AF10" s="10">
        <v>134</v>
      </c>
      <c r="AG10" s="16"/>
      <c r="AH10" s="16">
        <v>2</v>
      </c>
      <c r="AI10" s="16" t="s">
        <v>51</v>
      </c>
      <c r="AJ10" s="21" t="s">
        <v>18</v>
      </c>
      <c r="AK10" s="24">
        <f t="shared" si="6"/>
        <v>0</v>
      </c>
      <c r="AM10" s="29" t="s">
        <v>4</v>
      </c>
      <c r="AN10" s="32"/>
    </row>
    <row r="11" spans="2:41" ht="16.5" customHeight="1" x14ac:dyDescent="0.4">
      <c r="B11" s="10">
        <v>8</v>
      </c>
      <c r="C11" s="16"/>
      <c r="D11" s="16">
        <v>4</v>
      </c>
      <c r="E11" s="21" t="s">
        <v>18</v>
      </c>
      <c r="F11" s="24">
        <f t="shared" si="1"/>
        <v>0</v>
      </c>
      <c r="G11" s="11">
        <v>38</v>
      </c>
      <c r="H11" s="16"/>
      <c r="I11" s="17">
        <v>1</v>
      </c>
      <c r="J11" s="21" t="s">
        <v>18</v>
      </c>
      <c r="K11" s="24">
        <f t="shared" si="2"/>
        <v>0</v>
      </c>
      <c r="L11" s="10">
        <v>8</v>
      </c>
      <c r="M11" s="16"/>
      <c r="N11" s="16">
        <v>3</v>
      </c>
      <c r="O11" s="21" t="s">
        <v>18</v>
      </c>
      <c r="P11" s="24">
        <f t="shared" si="3"/>
        <v>0</v>
      </c>
      <c r="Q11" s="1">
        <v>40</v>
      </c>
      <c r="R11" s="16"/>
      <c r="S11" s="19">
        <v>2</v>
      </c>
      <c r="T11" s="21" t="s">
        <v>18</v>
      </c>
      <c r="U11" s="24">
        <f t="shared" si="4"/>
        <v>0</v>
      </c>
      <c r="V11" s="10">
        <v>72</v>
      </c>
      <c r="W11" s="16"/>
      <c r="X11" s="16">
        <v>1</v>
      </c>
      <c r="Y11" s="21" t="s">
        <v>18</v>
      </c>
      <c r="Z11" s="24">
        <f t="shared" si="5"/>
        <v>0</v>
      </c>
      <c r="AA11" s="1">
        <v>104</v>
      </c>
      <c r="AB11" s="16"/>
      <c r="AC11" s="19">
        <v>2</v>
      </c>
      <c r="AD11" s="21" t="s">
        <v>18</v>
      </c>
      <c r="AE11" s="24">
        <f t="shared" si="0"/>
        <v>0</v>
      </c>
      <c r="AF11" s="10">
        <v>135</v>
      </c>
      <c r="AG11" s="16"/>
      <c r="AH11" s="16" t="s">
        <v>17</v>
      </c>
      <c r="AI11" s="16" t="s">
        <v>16</v>
      </c>
      <c r="AJ11" s="21" t="s">
        <v>18</v>
      </c>
      <c r="AK11" s="24">
        <f t="shared" si="6"/>
        <v>0</v>
      </c>
      <c r="AL11" s="15"/>
      <c r="AM11" s="34" t="s">
        <v>54</v>
      </c>
      <c r="AN11" s="35"/>
    </row>
    <row r="12" spans="2:41" ht="18" thickBot="1" x14ac:dyDescent="0.45">
      <c r="B12" s="10">
        <v>9</v>
      </c>
      <c r="C12" s="16"/>
      <c r="D12" s="16">
        <v>2</v>
      </c>
      <c r="E12" s="21" t="s">
        <v>18</v>
      </c>
      <c r="F12" s="24">
        <f t="shared" si="1"/>
        <v>0</v>
      </c>
      <c r="G12" s="11">
        <v>39</v>
      </c>
      <c r="H12" s="16"/>
      <c r="I12" s="17">
        <v>1</v>
      </c>
      <c r="J12" s="21" t="s">
        <v>18</v>
      </c>
      <c r="K12" s="24">
        <f t="shared" si="2"/>
        <v>0</v>
      </c>
      <c r="L12" s="10">
        <v>9</v>
      </c>
      <c r="M12" s="16"/>
      <c r="N12" s="16">
        <v>2</v>
      </c>
      <c r="O12" s="21" t="s">
        <v>18</v>
      </c>
      <c r="P12" s="24">
        <f t="shared" si="3"/>
        <v>0</v>
      </c>
      <c r="Q12" s="1">
        <v>41</v>
      </c>
      <c r="R12" s="16"/>
      <c r="S12" s="19">
        <v>3</v>
      </c>
      <c r="T12" s="21" t="s">
        <v>18</v>
      </c>
      <c r="U12" s="24">
        <f t="shared" si="4"/>
        <v>0</v>
      </c>
      <c r="V12" s="10">
        <v>73</v>
      </c>
      <c r="W12" s="16"/>
      <c r="X12" s="16">
        <v>4</v>
      </c>
      <c r="Y12" s="21" t="s">
        <v>18</v>
      </c>
      <c r="Z12" s="24">
        <f t="shared" si="5"/>
        <v>0</v>
      </c>
      <c r="AA12" s="1">
        <v>105</v>
      </c>
      <c r="AB12" s="16"/>
      <c r="AC12" s="19">
        <v>3</v>
      </c>
      <c r="AD12" s="21" t="s">
        <v>18</v>
      </c>
      <c r="AE12" s="24">
        <f t="shared" si="0"/>
        <v>0</v>
      </c>
      <c r="AF12" s="10">
        <v>136</v>
      </c>
      <c r="AG12" s="16"/>
      <c r="AH12" s="16">
        <v>2</v>
      </c>
      <c r="AI12" s="16" t="s">
        <v>51</v>
      </c>
      <c r="AJ12" s="21" t="s">
        <v>18</v>
      </c>
      <c r="AK12" s="24">
        <f t="shared" si="6"/>
        <v>0</v>
      </c>
      <c r="AM12" s="36"/>
      <c r="AN12" s="37"/>
    </row>
    <row r="13" spans="2:41" ht="18" thickBot="1" x14ac:dyDescent="0.45">
      <c r="B13" s="10">
        <v>10</v>
      </c>
      <c r="C13" s="16"/>
      <c r="D13" s="16">
        <v>3</v>
      </c>
      <c r="E13" s="21" t="s">
        <v>18</v>
      </c>
      <c r="F13" s="24">
        <f t="shared" si="1"/>
        <v>0</v>
      </c>
      <c r="G13" s="11">
        <v>40</v>
      </c>
      <c r="H13" s="16"/>
      <c r="I13" s="17">
        <v>1</v>
      </c>
      <c r="J13" s="21" t="s">
        <v>18</v>
      </c>
      <c r="K13" s="24">
        <f t="shared" si="2"/>
        <v>0</v>
      </c>
      <c r="L13" s="10">
        <v>10</v>
      </c>
      <c r="M13" s="16"/>
      <c r="N13" s="16">
        <v>1</v>
      </c>
      <c r="O13" s="21" t="s">
        <v>18</v>
      </c>
      <c r="P13" s="24">
        <f t="shared" si="3"/>
        <v>0</v>
      </c>
      <c r="Q13" s="1">
        <v>42</v>
      </c>
      <c r="R13" s="16"/>
      <c r="S13" s="19">
        <v>3</v>
      </c>
      <c r="T13" s="21" t="s">
        <v>18</v>
      </c>
      <c r="U13" s="24">
        <f t="shared" si="4"/>
        <v>0</v>
      </c>
      <c r="V13" s="10">
        <v>74</v>
      </c>
      <c r="W13" s="16"/>
      <c r="X13" s="16">
        <v>1</v>
      </c>
      <c r="Y13" s="21" t="s">
        <v>18</v>
      </c>
      <c r="Z13" s="24">
        <f t="shared" si="5"/>
        <v>0</v>
      </c>
      <c r="AA13" s="1">
        <v>106</v>
      </c>
      <c r="AB13" s="16"/>
      <c r="AC13" s="19">
        <v>2</v>
      </c>
      <c r="AD13" s="21" t="s">
        <v>18</v>
      </c>
      <c r="AE13" s="24">
        <f t="shared" si="0"/>
        <v>0</v>
      </c>
      <c r="AF13" s="10">
        <v>137</v>
      </c>
      <c r="AG13" s="16"/>
      <c r="AH13" s="16" t="s">
        <v>8</v>
      </c>
      <c r="AI13" s="16" t="s">
        <v>11</v>
      </c>
      <c r="AJ13" s="21" t="s">
        <v>18</v>
      </c>
      <c r="AK13" s="24">
        <f t="shared" si="6"/>
        <v>0</v>
      </c>
    </row>
    <row r="14" spans="2:41" x14ac:dyDescent="0.4">
      <c r="B14" s="10">
        <v>11</v>
      </c>
      <c r="C14" s="16"/>
      <c r="D14" s="16">
        <v>1</v>
      </c>
      <c r="E14" s="21" t="s">
        <v>18</v>
      </c>
      <c r="F14" s="24">
        <f t="shared" si="1"/>
        <v>0</v>
      </c>
      <c r="G14" s="11">
        <v>41</v>
      </c>
      <c r="H14" s="16"/>
      <c r="I14" s="17">
        <v>4</v>
      </c>
      <c r="J14" s="21" t="s">
        <v>18</v>
      </c>
      <c r="K14" s="24">
        <f t="shared" si="2"/>
        <v>0</v>
      </c>
      <c r="L14" s="10">
        <v>11</v>
      </c>
      <c r="M14" s="16"/>
      <c r="N14" s="16">
        <v>1</v>
      </c>
      <c r="O14" s="21" t="s">
        <v>18</v>
      </c>
      <c r="P14" s="24">
        <f t="shared" si="3"/>
        <v>0</v>
      </c>
      <c r="Q14" s="1">
        <v>43</v>
      </c>
      <c r="R14" s="16"/>
      <c r="S14" s="19" t="s">
        <v>37</v>
      </c>
      <c r="T14" s="21" t="s">
        <v>18</v>
      </c>
      <c r="U14" s="24">
        <f t="shared" si="4"/>
        <v>0</v>
      </c>
      <c r="V14" s="10">
        <v>75</v>
      </c>
      <c r="W14" s="16"/>
      <c r="X14" s="16" t="s">
        <v>40</v>
      </c>
      <c r="Y14" s="16" t="s">
        <v>41</v>
      </c>
      <c r="Z14" s="24">
        <f t="shared" si="5"/>
        <v>0</v>
      </c>
      <c r="AA14" s="1">
        <v>107</v>
      </c>
      <c r="AB14" s="16"/>
      <c r="AC14" s="19" t="s">
        <v>43</v>
      </c>
      <c r="AD14" s="21" t="s">
        <v>18</v>
      </c>
      <c r="AE14" s="24">
        <f t="shared" si="0"/>
        <v>0</v>
      </c>
      <c r="AF14" s="10">
        <v>138</v>
      </c>
      <c r="AG14" s="16"/>
      <c r="AH14" s="16" t="s">
        <v>22</v>
      </c>
      <c r="AI14" s="16" t="s">
        <v>23</v>
      </c>
      <c r="AJ14" s="21" t="s">
        <v>18</v>
      </c>
      <c r="AK14" s="24">
        <f t="shared" si="6"/>
        <v>0</v>
      </c>
      <c r="AM14" s="29" t="s">
        <v>5</v>
      </c>
      <c r="AN14" s="32"/>
    </row>
    <row r="15" spans="2:41" ht="16.5" customHeight="1" x14ac:dyDescent="0.4">
      <c r="B15" s="10">
        <v>12</v>
      </c>
      <c r="C15" s="16"/>
      <c r="D15" s="16">
        <v>1</v>
      </c>
      <c r="E15" s="21" t="s">
        <v>18</v>
      </c>
      <c r="F15" s="24">
        <f t="shared" si="1"/>
        <v>0</v>
      </c>
      <c r="G15" s="11">
        <v>42</v>
      </c>
      <c r="H15" s="16"/>
      <c r="I15" s="17">
        <v>3</v>
      </c>
      <c r="J15" s="21" t="s">
        <v>18</v>
      </c>
      <c r="K15" s="24">
        <f t="shared" si="2"/>
        <v>0</v>
      </c>
      <c r="L15" s="10">
        <v>12</v>
      </c>
      <c r="M15" s="16"/>
      <c r="N15" s="16" t="s">
        <v>22</v>
      </c>
      <c r="O15" s="16" t="s">
        <v>23</v>
      </c>
      <c r="P15" s="24">
        <f t="shared" si="3"/>
        <v>0</v>
      </c>
      <c r="Q15" s="1">
        <v>44</v>
      </c>
      <c r="R15" s="16"/>
      <c r="S15" s="19">
        <v>4</v>
      </c>
      <c r="T15" s="21" t="s">
        <v>18</v>
      </c>
      <c r="U15" s="24">
        <f t="shared" si="4"/>
        <v>0</v>
      </c>
      <c r="V15" s="10">
        <v>76</v>
      </c>
      <c r="W15" s="16"/>
      <c r="X15" s="16">
        <v>2</v>
      </c>
      <c r="Y15" s="21" t="s">
        <v>18</v>
      </c>
      <c r="Z15" s="24">
        <f t="shared" si="5"/>
        <v>0</v>
      </c>
      <c r="AA15" s="1">
        <v>108</v>
      </c>
      <c r="AB15" s="16"/>
      <c r="AC15" s="19">
        <v>4</v>
      </c>
      <c r="AD15" s="21" t="s">
        <v>18</v>
      </c>
      <c r="AE15" s="24">
        <f t="shared" si="0"/>
        <v>0</v>
      </c>
      <c r="AF15" s="10">
        <v>139</v>
      </c>
      <c r="AG15" s="16"/>
      <c r="AH15" s="16">
        <v>4</v>
      </c>
      <c r="AI15" s="23" t="s">
        <v>18</v>
      </c>
      <c r="AJ15" s="21" t="s">
        <v>18</v>
      </c>
      <c r="AK15" s="24">
        <f t="shared" si="6"/>
        <v>0</v>
      </c>
      <c r="AL15" s="15"/>
      <c r="AM15" s="34" t="s">
        <v>60</v>
      </c>
      <c r="AN15" s="35"/>
    </row>
    <row r="16" spans="2:41" ht="18" thickBot="1" x14ac:dyDescent="0.45">
      <c r="B16" s="10">
        <v>13</v>
      </c>
      <c r="C16" s="16"/>
      <c r="D16" s="16">
        <v>1</v>
      </c>
      <c r="E16" s="21" t="s">
        <v>18</v>
      </c>
      <c r="F16" s="24">
        <f t="shared" si="1"/>
        <v>0</v>
      </c>
      <c r="G16" s="11">
        <v>43</v>
      </c>
      <c r="H16" s="16"/>
      <c r="I16" s="17">
        <v>3</v>
      </c>
      <c r="J16" s="21" t="s">
        <v>18</v>
      </c>
      <c r="K16" s="24">
        <f t="shared" si="2"/>
        <v>0</v>
      </c>
      <c r="L16" s="10">
        <v>13</v>
      </c>
      <c r="M16" s="16"/>
      <c r="N16" s="16">
        <v>3</v>
      </c>
      <c r="O16" s="21" t="s">
        <v>18</v>
      </c>
      <c r="P16" s="24">
        <f t="shared" si="3"/>
        <v>0</v>
      </c>
      <c r="Q16" s="1">
        <v>45</v>
      </c>
      <c r="R16" s="16"/>
      <c r="S16" s="19">
        <v>2</v>
      </c>
      <c r="T16" s="21" t="s">
        <v>18</v>
      </c>
      <c r="U16" s="24">
        <f t="shared" si="4"/>
        <v>0</v>
      </c>
      <c r="V16" s="10">
        <v>77</v>
      </c>
      <c r="W16" s="16"/>
      <c r="X16" s="16">
        <v>1</v>
      </c>
      <c r="Y16" s="21" t="s">
        <v>18</v>
      </c>
      <c r="Z16" s="24">
        <f t="shared" si="5"/>
        <v>0</v>
      </c>
      <c r="AA16" s="1">
        <v>109</v>
      </c>
      <c r="AB16" s="16"/>
      <c r="AC16" s="19" t="s">
        <v>24</v>
      </c>
      <c r="AD16" s="19" t="s">
        <v>25</v>
      </c>
      <c r="AE16" s="24">
        <f t="shared" si="0"/>
        <v>0</v>
      </c>
      <c r="AF16" s="10">
        <v>140</v>
      </c>
      <c r="AG16" s="16"/>
      <c r="AH16" s="16">
        <v>2</v>
      </c>
      <c r="AI16" s="23" t="s">
        <v>18</v>
      </c>
      <c r="AJ16" s="21" t="s">
        <v>18</v>
      </c>
      <c r="AK16" s="24">
        <f t="shared" si="6"/>
        <v>0</v>
      </c>
      <c r="AM16" s="36"/>
      <c r="AN16" s="37"/>
    </row>
    <row r="17" spans="2:40" ht="18" thickBot="1" x14ac:dyDescent="0.45">
      <c r="B17" s="10">
        <v>14</v>
      </c>
      <c r="C17" s="16"/>
      <c r="D17" s="16" t="s">
        <v>7</v>
      </c>
      <c r="E17" s="19" t="s">
        <v>10</v>
      </c>
      <c r="F17" s="24">
        <f t="shared" si="1"/>
        <v>0</v>
      </c>
      <c r="G17" s="11">
        <v>44</v>
      </c>
      <c r="H17" s="16"/>
      <c r="I17" s="17">
        <v>1</v>
      </c>
      <c r="J17" s="21" t="s">
        <v>18</v>
      </c>
      <c r="K17" s="24">
        <f t="shared" si="2"/>
        <v>0</v>
      </c>
      <c r="L17" s="10">
        <v>14</v>
      </c>
      <c r="M17" s="16"/>
      <c r="N17" s="16" t="s">
        <v>24</v>
      </c>
      <c r="O17" s="16" t="s">
        <v>25</v>
      </c>
      <c r="P17" s="24">
        <f t="shared" si="3"/>
        <v>0</v>
      </c>
      <c r="Q17" s="1">
        <v>46</v>
      </c>
      <c r="R17" s="16"/>
      <c r="S17" s="19" t="s">
        <v>38</v>
      </c>
      <c r="T17" s="21" t="s">
        <v>18</v>
      </c>
      <c r="U17" s="24">
        <f t="shared" si="4"/>
        <v>0</v>
      </c>
      <c r="V17" s="10">
        <v>78</v>
      </c>
      <c r="W17" s="16"/>
      <c r="X17" s="16">
        <v>5</v>
      </c>
      <c r="Y17" s="21" t="s">
        <v>18</v>
      </c>
      <c r="Z17" s="24">
        <f t="shared" si="5"/>
        <v>0</v>
      </c>
      <c r="AA17" s="1">
        <v>110</v>
      </c>
      <c r="AB17" s="16"/>
      <c r="AC17" s="19">
        <v>4</v>
      </c>
      <c r="AD17" s="21" t="s">
        <v>18</v>
      </c>
      <c r="AE17" s="24">
        <f t="shared" si="0"/>
        <v>0</v>
      </c>
      <c r="AF17" s="10">
        <v>141</v>
      </c>
      <c r="AG17" s="16"/>
      <c r="AH17" s="16">
        <v>2</v>
      </c>
      <c r="AI17" s="23" t="s">
        <v>18</v>
      </c>
      <c r="AJ17" s="21" t="s">
        <v>18</v>
      </c>
      <c r="AK17" s="24">
        <f t="shared" si="6"/>
        <v>0</v>
      </c>
    </row>
    <row r="18" spans="2:40" x14ac:dyDescent="0.4">
      <c r="B18" s="10">
        <v>15</v>
      </c>
      <c r="C18" s="16"/>
      <c r="D18" s="16">
        <v>3</v>
      </c>
      <c r="E18" s="21" t="s">
        <v>18</v>
      </c>
      <c r="F18" s="24">
        <f t="shared" si="1"/>
        <v>0</v>
      </c>
      <c r="G18" s="11">
        <v>45</v>
      </c>
      <c r="H18" s="16"/>
      <c r="I18" s="17">
        <v>3</v>
      </c>
      <c r="J18" s="21" t="s">
        <v>18</v>
      </c>
      <c r="K18" s="24">
        <f t="shared" si="2"/>
        <v>0</v>
      </c>
      <c r="L18" s="10">
        <v>15</v>
      </c>
      <c r="M18" s="16"/>
      <c r="N18" s="16">
        <v>3</v>
      </c>
      <c r="O18" s="21" t="s">
        <v>18</v>
      </c>
      <c r="P18" s="24">
        <f t="shared" si="3"/>
        <v>0</v>
      </c>
      <c r="Q18" s="1">
        <v>47</v>
      </c>
      <c r="R18" s="19"/>
      <c r="S18" s="19">
        <v>4</v>
      </c>
      <c r="T18" s="21" t="s">
        <v>18</v>
      </c>
      <c r="U18" s="24">
        <f t="shared" si="4"/>
        <v>0</v>
      </c>
      <c r="V18" s="10">
        <v>79</v>
      </c>
      <c r="W18" s="16"/>
      <c r="X18" s="16">
        <v>4</v>
      </c>
      <c r="Y18" s="21" t="s">
        <v>18</v>
      </c>
      <c r="Z18" s="24">
        <f t="shared" si="5"/>
        <v>0</v>
      </c>
      <c r="AA18" s="1">
        <v>111</v>
      </c>
      <c r="AB18" s="16"/>
      <c r="AC18" s="19">
        <v>2</v>
      </c>
      <c r="AD18" s="21" t="s">
        <v>18</v>
      </c>
      <c r="AE18" s="24">
        <f t="shared" si="0"/>
        <v>0</v>
      </c>
      <c r="AF18" s="10">
        <v>142</v>
      </c>
      <c r="AG18" s="17"/>
      <c r="AH18" s="16">
        <v>3</v>
      </c>
      <c r="AI18" s="23" t="s">
        <v>18</v>
      </c>
      <c r="AJ18" s="21" t="s">
        <v>18</v>
      </c>
      <c r="AK18" s="24">
        <f t="shared" si="6"/>
        <v>0</v>
      </c>
      <c r="AM18" s="29" t="s">
        <v>6</v>
      </c>
      <c r="AN18" s="32"/>
    </row>
    <row r="19" spans="2:40" ht="16.5" customHeight="1" x14ac:dyDescent="0.4">
      <c r="B19" s="10">
        <v>16</v>
      </c>
      <c r="C19" s="16"/>
      <c r="D19" s="16">
        <v>3</v>
      </c>
      <c r="E19" s="21" t="s">
        <v>18</v>
      </c>
      <c r="F19" s="24">
        <f t="shared" si="1"/>
        <v>0</v>
      </c>
      <c r="G19" s="11">
        <v>46</v>
      </c>
      <c r="H19" s="17"/>
      <c r="I19" s="17" t="s">
        <v>14</v>
      </c>
      <c r="J19" s="17" t="s">
        <v>15</v>
      </c>
      <c r="K19" s="24">
        <f t="shared" si="2"/>
        <v>0</v>
      </c>
      <c r="L19" s="10">
        <v>16</v>
      </c>
      <c r="M19" s="16"/>
      <c r="N19" s="16" t="s">
        <v>26</v>
      </c>
      <c r="O19" s="16" t="s">
        <v>27</v>
      </c>
      <c r="P19" s="24">
        <f t="shared" si="3"/>
        <v>0</v>
      </c>
      <c r="Q19" s="1">
        <v>48</v>
      </c>
      <c r="R19" s="19"/>
      <c r="S19" s="19">
        <v>3</v>
      </c>
      <c r="T19" s="21" t="s">
        <v>18</v>
      </c>
      <c r="U19" s="24">
        <f t="shared" si="4"/>
        <v>0</v>
      </c>
      <c r="V19" s="10">
        <v>80</v>
      </c>
      <c r="W19" s="16"/>
      <c r="X19" s="16">
        <v>2</v>
      </c>
      <c r="Y19" s="21" t="s">
        <v>18</v>
      </c>
      <c r="Z19" s="24">
        <f t="shared" si="5"/>
        <v>0</v>
      </c>
      <c r="AA19" s="1">
        <v>112</v>
      </c>
      <c r="AB19" s="16"/>
      <c r="AC19" s="19">
        <v>3</v>
      </c>
      <c r="AD19" s="21" t="s">
        <v>18</v>
      </c>
      <c r="AE19" s="24">
        <f t="shared" si="0"/>
        <v>0</v>
      </c>
      <c r="AF19" s="10">
        <v>143</v>
      </c>
      <c r="AG19" s="17"/>
      <c r="AH19" s="16">
        <v>4</v>
      </c>
      <c r="AI19" s="23" t="s">
        <v>18</v>
      </c>
      <c r="AJ19" s="21" t="s">
        <v>18</v>
      </c>
      <c r="AK19" s="24">
        <f t="shared" si="6"/>
        <v>0</v>
      </c>
      <c r="AL19" s="15"/>
      <c r="AM19" s="34" t="s">
        <v>61</v>
      </c>
      <c r="AN19" s="35"/>
    </row>
    <row r="20" spans="2:40" ht="18" thickBot="1" x14ac:dyDescent="0.45">
      <c r="B20" s="10">
        <v>17</v>
      </c>
      <c r="C20" s="16"/>
      <c r="D20" s="16">
        <v>1</v>
      </c>
      <c r="E20" s="21" t="s">
        <v>18</v>
      </c>
      <c r="F20" s="24">
        <f t="shared" si="1"/>
        <v>0</v>
      </c>
      <c r="G20" s="11">
        <v>47</v>
      </c>
      <c r="H20" s="17"/>
      <c r="I20" s="17">
        <v>2</v>
      </c>
      <c r="J20" s="21" t="s">
        <v>18</v>
      </c>
      <c r="K20" s="24">
        <f t="shared" si="2"/>
        <v>0</v>
      </c>
      <c r="L20" s="10">
        <v>17</v>
      </c>
      <c r="M20" s="16"/>
      <c r="N20" s="16">
        <v>2</v>
      </c>
      <c r="O20" s="21" t="s">
        <v>18</v>
      </c>
      <c r="P20" s="24">
        <f t="shared" si="3"/>
        <v>0</v>
      </c>
      <c r="Q20" s="1">
        <v>49</v>
      </c>
      <c r="R20" s="19"/>
      <c r="S20" s="19" t="s">
        <v>55</v>
      </c>
      <c r="T20" s="21" t="s">
        <v>56</v>
      </c>
      <c r="U20" s="24">
        <f t="shared" si="4"/>
        <v>0</v>
      </c>
      <c r="V20" s="10">
        <v>81</v>
      </c>
      <c r="W20" s="16"/>
      <c r="X20" s="16">
        <v>2</v>
      </c>
      <c r="Y20" s="21" t="s">
        <v>18</v>
      </c>
      <c r="Z20" s="24">
        <f t="shared" si="5"/>
        <v>0</v>
      </c>
      <c r="AA20" s="1">
        <v>113</v>
      </c>
      <c r="AB20" s="16"/>
      <c r="AC20" s="19">
        <v>1</v>
      </c>
      <c r="AD20" s="21" t="s">
        <v>18</v>
      </c>
      <c r="AE20" s="24">
        <f t="shared" si="0"/>
        <v>0</v>
      </c>
      <c r="AF20" s="10">
        <v>144</v>
      </c>
      <c r="AG20" s="16"/>
      <c r="AH20" s="16">
        <v>4</v>
      </c>
      <c r="AI20" s="23" t="s">
        <v>18</v>
      </c>
      <c r="AJ20" s="21" t="s">
        <v>18</v>
      </c>
      <c r="AK20" s="24">
        <f t="shared" si="6"/>
        <v>0</v>
      </c>
      <c r="AM20" s="36"/>
      <c r="AN20" s="37"/>
    </row>
    <row r="21" spans="2:40" x14ac:dyDescent="0.4">
      <c r="B21" s="10">
        <v>18</v>
      </c>
      <c r="C21" s="16"/>
      <c r="D21" s="16">
        <v>4</v>
      </c>
      <c r="E21" s="21" t="s">
        <v>18</v>
      </c>
      <c r="F21" s="24">
        <f t="shared" si="1"/>
        <v>0</v>
      </c>
      <c r="G21" s="11">
        <v>48</v>
      </c>
      <c r="H21" s="17"/>
      <c r="I21" s="17">
        <v>4</v>
      </c>
      <c r="J21" s="21" t="s">
        <v>18</v>
      </c>
      <c r="K21" s="24">
        <f t="shared" si="2"/>
        <v>0</v>
      </c>
      <c r="L21" s="10">
        <v>18</v>
      </c>
      <c r="M21" s="16"/>
      <c r="N21" s="16" t="s">
        <v>28</v>
      </c>
      <c r="O21" s="21" t="s">
        <v>18</v>
      </c>
      <c r="P21" s="24">
        <f t="shared" si="3"/>
        <v>0</v>
      </c>
      <c r="Q21" s="1">
        <v>50</v>
      </c>
      <c r="R21" s="19"/>
      <c r="S21" s="19">
        <v>3</v>
      </c>
      <c r="T21" s="21" t="s">
        <v>18</v>
      </c>
      <c r="U21" s="24">
        <f t="shared" si="4"/>
        <v>0</v>
      </c>
      <c r="V21" s="10">
        <v>82</v>
      </c>
      <c r="W21" s="16"/>
      <c r="X21" s="16">
        <v>2</v>
      </c>
      <c r="Y21" s="21" t="s">
        <v>18</v>
      </c>
      <c r="Z21" s="24">
        <f t="shared" si="5"/>
        <v>0</v>
      </c>
      <c r="AA21" s="1">
        <v>114</v>
      </c>
      <c r="AB21" s="19"/>
      <c r="AC21" s="19">
        <v>4</v>
      </c>
      <c r="AD21" s="21" t="s">
        <v>18</v>
      </c>
      <c r="AE21" s="24">
        <f t="shared" si="0"/>
        <v>0</v>
      </c>
      <c r="AF21" s="10">
        <v>145</v>
      </c>
      <c r="AG21" s="16"/>
      <c r="AH21" s="16">
        <v>4</v>
      </c>
      <c r="AI21" s="23" t="s">
        <v>18</v>
      </c>
      <c r="AJ21" s="21" t="s">
        <v>18</v>
      </c>
      <c r="AK21" s="24">
        <f t="shared" si="6"/>
        <v>0</v>
      </c>
    </row>
    <row r="22" spans="2:40" x14ac:dyDescent="0.4">
      <c r="B22" s="10">
        <v>19</v>
      </c>
      <c r="C22" s="16"/>
      <c r="D22" s="16">
        <v>3</v>
      </c>
      <c r="E22" s="21" t="s">
        <v>18</v>
      </c>
      <c r="F22" s="24">
        <f t="shared" si="1"/>
        <v>0</v>
      </c>
      <c r="G22" s="11">
        <v>49</v>
      </c>
      <c r="H22" s="17"/>
      <c r="I22" s="17">
        <v>4</v>
      </c>
      <c r="J22" s="21" t="s">
        <v>18</v>
      </c>
      <c r="K22" s="24">
        <f t="shared" si="2"/>
        <v>0</v>
      </c>
      <c r="L22" s="10">
        <v>19</v>
      </c>
      <c r="M22" s="16"/>
      <c r="N22" s="16">
        <v>4</v>
      </c>
      <c r="O22" s="21" t="s">
        <v>18</v>
      </c>
      <c r="P22" s="24">
        <f t="shared" si="3"/>
        <v>0</v>
      </c>
      <c r="Q22" s="1">
        <v>51</v>
      </c>
      <c r="R22" s="19"/>
      <c r="S22" s="19">
        <v>3</v>
      </c>
      <c r="T22" s="21" t="s">
        <v>18</v>
      </c>
      <c r="U22" s="24">
        <f t="shared" si="4"/>
        <v>0</v>
      </c>
      <c r="V22" s="10">
        <v>83</v>
      </c>
      <c r="W22" s="16"/>
      <c r="X22" s="16">
        <v>1</v>
      </c>
      <c r="Y22" s="21" t="s">
        <v>18</v>
      </c>
      <c r="Z22" s="24">
        <f t="shared" si="5"/>
        <v>0</v>
      </c>
      <c r="AA22" s="1">
        <v>115</v>
      </c>
      <c r="AB22" s="19"/>
      <c r="AC22" s="19">
        <v>3</v>
      </c>
      <c r="AD22" s="21" t="s">
        <v>18</v>
      </c>
      <c r="AE22" s="24">
        <f t="shared" si="0"/>
        <v>0</v>
      </c>
      <c r="AF22" s="10">
        <v>146</v>
      </c>
      <c r="AG22" s="16"/>
      <c r="AH22" s="16">
        <v>1</v>
      </c>
      <c r="AI22" s="23" t="s">
        <v>18</v>
      </c>
      <c r="AJ22" s="21" t="s">
        <v>18</v>
      </c>
      <c r="AK22" s="24">
        <f t="shared" si="6"/>
        <v>0</v>
      </c>
    </row>
    <row r="23" spans="2:40" x14ac:dyDescent="0.4">
      <c r="B23" s="10">
        <v>20</v>
      </c>
      <c r="C23" s="16"/>
      <c r="D23" s="16" t="s">
        <v>8</v>
      </c>
      <c r="E23" s="19" t="s">
        <v>11</v>
      </c>
      <c r="F23" s="24">
        <f t="shared" si="1"/>
        <v>0</v>
      </c>
      <c r="G23" s="11">
        <v>50</v>
      </c>
      <c r="H23" s="17"/>
      <c r="I23" s="17">
        <v>2</v>
      </c>
      <c r="J23" s="21" t="s">
        <v>18</v>
      </c>
      <c r="K23" s="24">
        <f t="shared" si="2"/>
        <v>0</v>
      </c>
      <c r="L23" s="10">
        <v>20</v>
      </c>
      <c r="M23" s="16"/>
      <c r="N23" s="16">
        <v>4</v>
      </c>
      <c r="O23" s="21" t="s">
        <v>18</v>
      </c>
      <c r="P23" s="24">
        <f t="shared" si="3"/>
        <v>0</v>
      </c>
      <c r="Q23" s="1">
        <v>52</v>
      </c>
      <c r="R23" s="19"/>
      <c r="S23" s="19">
        <v>2</v>
      </c>
      <c r="T23" s="21" t="s">
        <v>18</v>
      </c>
      <c r="U23" s="24">
        <f t="shared" si="4"/>
        <v>0</v>
      </c>
      <c r="V23" s="10">
        <v>84</v>
      </c>
      <c r="W23" s="16"/>
      <c r="X23" s="16">
        <v>1</v>
      </c>
      <c r="Y23" s="21" t="s">
        <v>18</v>
      </c>
      <c r="Z23" s="24">
        <f t="shared" si="5"/>
        <v>0</v>
      </c>
      <c r="AA23" s="1">
        <v>116</v>
      </c>
      <c r="AB23" s="19"/>
      <c r="AC23" s="19">
        <v>3</v>
      </c>
      <c r="AD23" s="21" t="s">
        <v>18</v>
      </c>
      <c r="AE23" s="24">
        <f t="shared" si="0"/>
        <v>0</v>
      </c>
      <c r="AF23" s="10"/>
      <c r="AG23" s="6"/>
      <c r="AH23" s="6"/>
      <c r="AI23" s="6"/>
      <c r="AJ23" s="6"/>
      <c r="AK23" s="3"/>
    </row>
    <row r="24" spans="2:40" x14ac:dyDescent="0.4">
      <c r="B24" s="10">
        <v>21</v>
      </c>
      <c r="C24" s="16"/>
      <c r="D24" s="16">
        <v>2</v>
      </c>
      <c r="E24" s="21" t="s">
        <v>18</v>
      </c>
      <c r="F24" s="24">
        <f t="shared" si="1"/>
        <v>0</v>
      </c>
      <c r="G24" s="11">
        <v>51</v>
      </c>
      <c r="H24" s="17"/>
      <c r="I24" s="17" t="s">
        <v>17</v>
      </c>
      <c r="J24" s="17" t="s">
        <v>16</v>
      </c>
      <c r="K24" s="24">
        <f t="shared" si="2"/>
        <v>0</v>
      </c>
      <c r="L24" s="10">
        <v>21</v>
      </c>
      <c r="M24" s="16"/>
      <c r="N24" s="16">
        <v>2</v>
      </c>
      <c r="O24" s="21" t="s">
        <v>18</v>
      </c>
      <c r="P24" s="24">
        <f t="shared" si="3"/>
        <v>0</v>
      </c>
      <c r="Q24" s="1">
        <v>53</v>
      </c>
      <c r="R24" s="19"/>
      <c r="S24" s="19">
        <v>4</v>
      </c>
      <c r="T24" s="21" t="s">
        <v>18</v>
      </c>
      <c r="U24" s="24">
        <f t="shared" si="4"/>
        <v>0</v>
      </c>
      <c r="V24" s="10">
        <v>85</v>
      </c>
      <c r="W24" s="16"/>
      <c r="X24" s="16">
        <v>3</v>
      </c>
      <c r="Y24" s="21" t="s">
        <v>18</v>
      </c>
      <c r="Z24" s="24">
        <f t="shared" si="5"/>
        <v>0</v>
      </c>
      <c r="AA24" s="1">
        <v>117</v>
      </c>
      <c r="AB24" s="19"/>
      <c r="AC24" s="19">
        <v>1</v>
      </c>
      <c r="AD24" s="21" t="s">
        <v>18</v>
      </c>
      <c r="AE24" s="24">
        <f t="shared" si="0"/>
        <v>0</v>
      </c>
      <c r="AF24" s="10"/>
      <c r="AG24" s="6"/>
      <c r="AH24" s="6"/>
      <c r="AI24" s="6"/>
      <c r="AJ24" s="6"/>
      <c r="AK24" s="3"/>
    </row>
    <row r="25" spans="2:40" x14ac:dyDescent="0.4">
      <c r="B25" s="10">
        <v>22</v>
      </c>
      <c r="C25" s="16"/>
      <c r="D25" s="16">
        <v>2</v>
      </c>
      <c r="E25" s="21" t="s">
        <v>18</v>
      </c>
      <c r="F25" s="24">
        <f t="shared" si="1"/>
        <v>0</v>
      </c>
      <c r="G25" s="11">
        <v>52</v>
      </c>
      <c r="H25" s="17"/>
      <c r="I25" s="17">
        <v>4</v>
      </c>
      <c r="J25" s="21" t="s">
        <v>18</v>
      </c>
      <c r="K25" s="24">
        <f t="shared" si="2"/>
        <v>0</v>
      </c>
      <c r="L25" s="10">
        <v>22</v>
      </c>
      <c r="M25" s="16"/>
      <c r="N25" s="16" t="s">
        <v>22</v>
      </c>
      <c r="O25" s="16" t="s">
        <v>23</v>
      </c>
      <c r="P25" s="24">
        <f t="shared" si="3"/>
        <v>0</v>
      </c>
      <c r="Q25" s="1">
        <v>54</v>
      </c>
      <c r="R25" s="19"/>
      <c r="S25" s="19">
        <v>2</v>
      </c>
      <c r="T25" s="21" t="s">
        <v>18</v>
      </c>
      <c r="U25" s="24">
        <f t="shared" si="4"/>
        <v>0</v>
      </c>
      <c r="V25" s="10">
        <v>86</v>
      </c>
      <c r="W25" s="16"/>
      <c r="X25" s="16">
        <v>3</v>
      </c>
      <c r="Y25" s="21" t="s">
        <v>18</v>
      </c>
      <c r="Z25" s="24">
        <f t="shared" si="5"/>
        <v>0</v>
      </c>
      <c r="AA25" s="1">
        <v>118</v>
      </c>
      <c r="AB25" s="19"/>
      <c r="AC25" s="19">
        <v>1</v>
      </c>
      <c r="AD25" s="21" t="s">
        <v>18</v>
      </c>
      <c r="AE25" s="24">
        <f t="shared" si="0"/>
        <v>0</v>
      </c>
      <c r="AF25" s="10"/>
      <c r="AG25" s="6"/>
      <c r="AH25" s="6"/>
      <c r="AI25" s="6"/>
      <c r="AJ25" s="6"/>
      <c r="AK25" s="3"/>
    </row>
    <row r="26" spans="2:40" x14ac:dyDescent="0.4">
      <c r="B26" s="10">
        <v>23</v>
      </c>
      <c r="C26" s="16"/>
      <c r="D26" s="16">
        <v>3</v>
      </c>
      <c r="E26" s="21" t="s">
        <v>18</v>
      </c>
      <c r="F26" s="24">
        <f t="shared" si="1"/>
        <v>0</v>
      </c>
      <c r="G26" s="11"/>
      <c r="H26" s="6"/>
      <c r="I26" s="6"/>
      <c r="J26" s="6"/>
      <c r="K26" s="3"/>
      <c r="L26" s="10">
        <v>23</v>
      </c>
      <c r="M26" s="16"/>
      <c r="N26" s="16">
        <v>1</v>
      </c>
      <c r="O26" s="21" t="s">
        <v>18</v>
      </c>
      <c r="P26" s="24">
        <f>IF(OR(M26=N26,M26=O26),1,0)</f>
        <v>0</v>
      </c>
      <c r="Q26" s="1">
        <v>55</v>
      </c>
      <c r="R26" s="19"/>
      <c r="S26" s="19">
        <v>2</v>
      </c>
      <c r="T26" s="21" t="s">
        <v>18</v>
      </c>
      <c r="U26" s="24">
        <f t="shared" si="4"/>
        <v>0</v>
      </c>
      <c r="V26" s="10">
        <v>87</v>
      </c>
      <c r="W26" s="16"/>
      <c r="X26" s="16" t="s">
        <v>42</v>
      </c>
      <c r="Y26" s="21" t="s">
        <v>18</v>
      </c>
      <c r="Z26" s="24">
        <f>IF(OR(W26=X26,W26=Y26),1,0)</f>
        <v>0</v>
      </c>
      <c r="AA26" s="1">
        <v>119</v>
      </c>
      <c r="AB26" s="19"/>
      <c r="AC26" s="19" t="s">
        <v>44</v>
      </c>
      <c r="AD26" s="21" t="s">
        <v>18</v>
      </c>
      <c r="AE26" s="24">
        <f t="shared" si="0"/>
        <v>0</v>
      </c>
      <c r="AF26" s="10"/>
      <c r="AG26" s="6"/>
      <c r="AH26" s="6"/>
      <c r="AI26" s="6"/>
      <c r="AJ26" s="6"/>
      <c r="AK26" s="3"/>
    </row>
    <row r="27" spans="2:40" x14ac:dyDescent="0.4">
      <c r="B27" s="10">
        <v>24</v>
      </c>
      <c r="C27" s="16"/>
      <c r="D27" s="16">
        <v>4</v>
      </c>
      <c r="E27" s="21" t="s">
        <v>18</v>
      </c>
      <c r="F27" s="24">
        <f t="shared" si="1"/>
        <v>0</v>
      </c>
      <c r="G27" s="11"/>
      <c r="H27" s="6"/>
      <c r="I27" s="6"/>
      <c r="J27" s="6"/>
      <c r="K27" s="3"/>
      <c r="L27" s="10">
        <v>24</v>
      </c>
      <c r="M27" s="16"/>
      <c r="N27" s="16" t="s">
        <v>29</v>
      </c>
      <c r="O27" s="21" t="s">
        <v>18</v>
      </c>
      <c r="P27" s="24">
        <f t="shared" si="3"/>
        <v>0</v>
      </c>
      <c r="Q27" s="1">
        <v>56</v>
      </c>
      <c r="R27" s="19"/>
      <c r="S27" s="19">
        <v>3</v>
      </c>
      <c r="T27" s="21" t="s">
        <v>18</v>
      </c>
      <c r="U27" s="24">
        <f t="shared" si="4"/>
        <v>0</v>
      </c>
      <c r="V27" s="10">
        <v>88</v>
      </c>
      <c r="W27" s="16"/>
      <c r="X27" s="16">
        <v>4</v>
      </c>
      <c r="Y27" s="21" t="s">
        <v>18</v>
      </c>
      <c r="Z27" s="24">
        <f t="shared" si="5"/>
        <v>0</v>
      </c>
      <c r="AA27" s="1">
        <v>120</v>
      </c>
      <c r="AB27" s="19"/>
      <c r="AC27" s="19">
        <v>4</v>
      </c>
      <c r="AD27" s="21" t="s">
        <v>18</v>
      </c>
      <c r="AE27" s="24">
        <f t="shared" si="0"/>
        <v>0</v>
      </c>
      <c r="AF27" s="10"/>
      <c r="AG27" s="6"/>
      <c r="AH27" s="6"/>
      <c r="AI27" s="6"/>
      <c r="AJ27" s="6"/>
      <c r="AK27" s="3"/>
    </row>
    <row r="28" spans="2:40" x14ac:dyDescent="0.4">
      <c r="B28" s="10">
        <v>25</v>
      </c>
      <c r="C28" s="16"/>
      <c r="D28" s="16">
        <v>4</v>
      </c>
      <c r="E28" s="21" t="s">
        <v>18</v>
      </c>
      <c r="F28" s="24">
        <f t="shared" si="1"/>
        <v>0</v>
      </c>
      <c r="G28" s="11"/>
      <c r="H28" s="6"/>
      <c r="I28" s="6"/>
      <c r="J28" s="6"/>
      <c r="K28" s="3"/>
      <c r="L28" s="10">
        <v>25</v>
      </c>
      <c r="M28" s="16"/>
      <c r="N28" s="16">
        <v>1</v>
      </c>
      <c r="O28" s="21" t="s">
        <v>18</v>
      </c>
      <c r="P28" s="24">
        <f t="shared" si="3"/>
        <v>0</v>
      </c>
      <c r="Q28" s="1">
        <v>57</v>
      </c>
      <c r="R28" s="19"/>
      <c r="S28" s="19">
        <v>3</v>
      </c>
      <c r="T28" s="21" t="s">
        <v>18</v>
      </c>
      <c r="U28" s="24">
        <f t="shared" si="4"/>
        <v>0</v>
      </c>
      <c r="V28" s="10">
        <v>89</v>
      </c>
      <c r="W28" s="16"/>
      <c r="X28" s="16">
        <v>1</v>
      </c>
      <c r="Y28" s="21" t="s">
        <v>18</v>
      </c>
      <c r="Z28" s="24">
        <f t="shared" si="5"/>
        <v>0</v>
      </c>
      <c r="AA28" s="1">
        <v>121</v>
      </c>
      <c r="AB28" s="19"/>
      <c r="AC28" s="19" t="s">
        <v>45</v>
      </c>
      <c r="AD28" s="21" t="s">
        <v>18</v>
      </c>
      <c r="AE28" s="24">
        <f t="shared" si="0"/>
        <v>0</v>
      </c>
      <c r="AF28" s="10"/>
      <c r="AG28" s="6"/>
      <c r="AH28" s="6"/>
      <c r="AI28" s="6"/>
      <c r="AJ28" s="6"/>
      <c r="AK28" s="3"/>
    </row>
    <row r="29" spans="2:40" x14ac:dyDescent="0.4">
      <c r="B29" s="10">
        <v>26</v>
      </c>
      <c r="C29" s="16"/>
      <c r="D29" s="16">
        <v>4</v>
      </c>
      <c r="E29" s="21" t="s">
        <v>18</v>
      </c>
      <c r="F29" s="24">
        <f t="shared" si="1"/>
        <v>0</v>
      </c>
      <c r="G29" s="11"/>
      <c r="H29" s="6"/>
      <c r="I29" s="6"/>
      <c r="J29" s="6"/>
      <c r="K29" s="3"/>
      <c r="L29" s="10">
        <v>26</v>
      </c>
      <c r="M29" s="16"/>
      <c r="N29" s="16" t="s">
        <v>30</v>
      </c>
      <c r="O29" s="16" t="s">
        <v>31</v>
      </c>
      <c r="P29" s="24">
        <f t="shared" si="3"/>
        <v>0</v>
      </c>
      <c r="Q29" s="1">
        <v>58</v>
      </c>
      <c r="R29" s="19"/>
      <c r="S29" s="19">
        <v>2</v>
      </c>
      <c r="T29" s="21" t="s">
        <v>18</v>
      </c>
      <c r="U29" s="24">
        <f t="shared" si="4"/>
        <v>0</v>
      </c>
      <c r="V29" s="10">
        <v>90</v>
      </c>
      <c r="W29" s="16"/>
      <c r="X29" s="16">
        <v>4</v>
      </c>
      <c r="Y29" s="21" t="s">
        <v>18</v>
      </c>
      <c r="Z29" s="24">
        <f t="shared" si="5"/>
        <v>0</v>
      </c>
      <c r="AA29" s="1">
        <v>122</v>
      </c>
      <c r="AB29" s="19"/>
      <c r="AC29" s="19" t="s">
        <v>22</v>
      </c>
      <c r="AD29" s="19" t="s">
        <v>23</v>
      </c>
      <c r="AE29" s="24">
        <f t="shared" si="0"/>
        <v>0</v>
      </c>
      <c r="AF29" s="10"/>
      <c r="AG29" s="6"/>
      <c r="AH29" s="6"/>
      <c r="AI29" s="6"/>
      <c r="AJ29" s="6"/>
      <c r="AK29" s="3"/>
    </row>
    <row r="30" spans="2:40" x14ac:dyDescent="0.4">
      <c r="B30" s="10">
        <v>27</v>
      </c>
      <c r="C30" s="16"/>
      <c r="D30" s="16">
        <v>2</v>
      </c>
      <c r="E30" s="21" t="s">
        <v>18</v>
      </c>
      <c r="F30" s="24">
        <f t="shared" si="1"/>
        <v>0</v>
      </c>
      <c r="G30" s="11"/>
      <c r="H30" s="6"/>
      <c r="I30" s="6"/>
      <c r="J30" s="6"/>
      <c r="K30" s="3"/>
      <c r="L30" s="10">
        <v>27</v>
      </c>
      <c r="M30" s="16"/>
      <c r="N30" s="16" t="s">
        <v>17</v>
      </c>
      <c r="O30" s="16" t="s">
        <v>16</v>
      </c>
      <c r="P30" s="24">
        <f t="shared" si="3"/>
        <v>0</v>
      </c>
      <c r="Q30" s="1">
        <v>59</v>
      </c>
      <c r="R30" s="19"/>
      <c r="S30" s="19">
        <v>4</v>
      </c>
      <c r="T30" s="21" t="s">
        <v>18</v>
      </c>
      <c r="U30" s="24">
        <f t="shared" si="4"/>
        <v>0</v>
      </c>
      <c r="V30" s="10">
        <v>91</v>
      </c>
      <c r="W30" s="16"/>
      <c r="X30" s="16">
        <v>1</v>
      </c>
      <c r="Y30" s="21" t="s">
        <v>18</v>
      </c>
      <c r="Z30" s="24">
        <f t="shared" si="5"/>
        <v>0</v>
      </c>
      <c r="AA30" s="1">
        <v>123</v>
      </c>
      <c r="AB30" s="19"/>
      <c r="AC30" s="19">
        <v>3</v>
      </c>
      <c r="AD30" s="21" t="s">
        <v>18</v>
      </c>
      <c r="AE30" s="24">
        <f t="shared" si="0"/>
        <v>0</v>
      </c>
      <c r="AF30" s="10"/>
      <c r="AG30" s="6"/>
      <c r="AH30" s="6"/>
      <c r="AI30" s="6"/>
      <c r="AJ30" s="6"/>
      <c r="AK30" s="3"/>
    </row>
    <row r="31" spans="2:40" x14ac:dyDescent="0.4">
      <c r="B31" s="10">
        <v>28</v>
      </c>
      <c r="C31" s="16"/>
      <c r="D31" s="16">
        <v>2</v>
      </c>
      <c r="E31" s="21" t="s">
        <v>18</v>
      </c>
      <c r="F31" s="24">
        <f t="shared" si="1"/>
        <v>0</v>
      </c>
      <c r="G31" s="11"/>
      <c r="H31" s="6"/>
      <c r="I31" s="6"/>
      <c r="J31" s="6"/>
      <c r="K31" s="3"/>
      <c r="L31" s="10">
        <v>28</v>
      </c>
      <c r="M31" s="16"/>
      <c r="N31" s="16" t="s">
        <v>30</v>
      </c>
      <c r="O31" s="16" t="s">
        <v>31</v>
      </c>
      <c r="P31" s="24">
        <f t="shared" si="3"/>
        <v>0</v>
      </c>
      <c r="Q31" s="1">
        <v>60</v>
      </c>
      <c r="R31" s="19"/>
      <c r="S31" s="19">
        <v>4</v>
      </c>
      <c r="T31" s="21" t="s">
        <v>18</v>
      </c>
      <c r="U31" s="24">
        <f t="shared" si="4"/>
        <v>0</v>
      </c>
      <c r="V31" s="10">
        <v>92</v>
      </c>
      <c r="W31" s="16"/>
      <c r="X31" s="16">
        <v>1</v>
      </c>
      <c r="Y31" s="21" t="s">
        <v>18</v>
      </c>
      <c r="Z31" s="24">
        <f t="shared" si="5"/>
        <v>0</v>
      </c>
      <c r="AA31" s="1">
        <v>124</v>
      </c>
      <c r="AB31" s="19"/>
      <c r="AC31" s="19">
        <v>3</v>
      </c>
      <c r="AD31" s="21" t="s">
        <v>18</v>
      </c>
      <c r="AE31" s="24">
        <f t="shared" si="0"/>
        <v>0</v>
      </c>
      <c r="AF31" s="10"/>
      <c r="AG31" s="6"/>
      <c r="AH31" s="6"/>
      <c r="AI31" s="6"/>
      <c r="AJ31" s="6"/>
      <c r="AK31" s="3"/>
    </row>
    <row r="32" spans="2:40" x14ac:dyDescent="0.4">
      <c r="B32" s="10">
        <v>29</v>
      </c>
      <c r="C32" s="16"/>
      <c r="D32" s="16">
        <v>4</v>
      </c>
      <c r="E32" s="21" t="s">
        <v>18</v>
      </c>
      <c r="F32" s="24">
        <f t="shared" si="1"/>
        <v>0</v>
      </c>
      <c r="G32" s="11"/>
      <c r="H32" s="6"/>
      <c r="I32" s="6"/>
      <c r="J32" s="6"/>
      <c r="K32" s="3"/>
      <c r="L32" s="10">
        <v>29</v>
      </c>
      <c r="M32" s="16"/>
      <c r="N32" s="16">
        <v>3</v>
      </c>
      <c r="O32" s="21" t="s">
        <v>18</v>
      </c>
      <c r="P32" s="24">
        <f t="shared" si="3"/>
        <v>0</v>
      </c>
      <c r="Q32" s="1">
        <v>61</v>
      </c>
      <c r="R32" s="19"/>
      <c r="S32" s="19">
        <v>3</v>
      </c>
      <c r="T32" s="21" t="s">
        <v>18</v>
      </c>
      <c r="U32" s="24">
        <f t="shared" si="4"/>
        <v>0</v>
      </c>
      <c r="V32" s="10">
        <v>93</v>
      </c>
      <c r="W32" s="16"/>
      <c r="X32" s="16">
        <v>3</v>
      </c>
      <c r="Y32" s="21" t="s">
        <v>18</v>
      </c>
      <c r="Z32" s="24">
        <f t="shared" si="5"/>
        <v>0</v>
      </c>
      <c r="AA32" s="1">
        <v>125</v>
      </c>
      <c r="AB32" s="19"/>
      <c r="AC32" s="19">
        <v>4</v>
      </c>
      <c r="AD32" s="21" t="s">
        <v>18</v>
      </c>
      <c r="AE32" s="24">
        <f t="shared" si="0"/>
        <v>0</v>
      </c>
      <c r="AF32" s="10"/>
      <c r="AG32" s="6"/>
      <c r="AH32" s="6"/>
      <c r="AI32" s="6"/>
      <c r="AJ32" s="6"/>
      <c r="AK32" s="3"/>
    </row>
    <row r="33" spans="2:37" x14ac:dyDescent="0.4">
      <c r="B33" s="10">
        <v>30</v>
      </c>
      <c r="C33" s="16"/>
      <c r="D33" s="16">
        <v>2</v>
      </c>
      <c r="E33" s="21" t="s">
        <v>18</v>
      </c>
      <c r="F33" s="24">
        <f t="shared" si="1"/>
        <v>0</v>
      </c>
      <c r="G33" s="11"/>
      <c r="H33" s="6"/>
      <c r="I33" s="6"/>
      <c r="J33" s="6"/>
      <c r="K33" s="3"/>
      <c r="L33" s="10">
        <v>30</v>
      </c>
      <c r="M33" s="16"/>
      <c r="N33" s="16" t="s">
        <v>32</v>
      </c>
      <c r="O33" s="16" t="s">
        <v>33</v>
      </c>
      <c r="P33" s="24">
        <f t="shared" si="3"/>
        <v>0</v>
      </c>
      <c r="Q33" s="1">
        <v>62</v>
      </c>
      <c r="R33" s="19"/>
      <c r="S33" s="19">
        <v>4</v>
      </c>
      <c r="T33" s="21" t="s">
        <v>18</v>
      </c>
      <c r="U33" s="24">
        <f t="shared" si="4"/>
        <v>0</v>
      </c>
      <c r="V33" s="10">
        <v>94</v>
      </c>
      <c r="W33" s="16"/>
      <c r="X33" s="16">
        <v>3</v>
      </c>
      <c r="Y33" s="21" t="s">
        <v>18</v>
      </c>
      <c r="Z33" s="24">
        <f t="shared" si="5"/>
        <v>0</v>
      </c>
      <c r="AA33" s="1">
        <v>126</v>
      </c>
      <c r="AB33" s="19"/>
      <c r="AC33" s="19">
        <v>3</v>
      </c>
      <c r="AD33" s="21" t="s">
        <v>18</v>
      </c>
      <c r="AE33" s="24">
        <f t="shared" si="0"/>
        <v>0</v>
      </c>
      <c r="AF33" s="10"/>
      <c r="AG33" s="6"/>
      <c r="AH33" s="6"/>
      <c r="AI33" s="6"/>
      <c r="AJ33" s="6"/>
      <c r="AK33" s="3"/>
    </row>
    <row r="34" spans="2:37" x14ac:dyDescent="0.4">
      <c r="B34" s="10"/>
      <c r="C34" s="1"/>
      <c r="D34" s="1"/>
      <c r="E34" s="8"/>
      <c r="F34" s="3"/>
      <c r="G34" s="11"/>
      <c r="H34" s="6"/>
      <c r="I34" s="6"/>
      <c r="J34" s="6"/>
      <c r="K34" s="3"/>
      <c r="L34" s="10">
        <v>31</v>
      </c>
      <c r="M34" s="16"/>
      <c r="N34" s="16">
        <v>3</v>
      </c>
      <c r="O34" s="21" t="s">
        <v>18</v>
      </c>
      <c r="P34" s="24">
        <f t="shared" si="3"/>
        <v>0</v>
      </c>
      <c r="Q34" s="1">
        <v>63</v>
      </c>
      <c r="R34" s="19"/>
      <c r="S34" s="19">
        <v>4</v>
      </c>
      <c r="T34" s="21" t="s">
        <v>18</v>
      </c>
      <c r="U34" s="24">
        <f t="shared" si="4"/>
        <v>0</v>
      </c>
      <c r="V34" s="10">
        <v>95</v>
      </c>
      <c r="W34" s="16"/>
      <c r="X34" s="16">
        <v>2</v>
      </c>
      <c r="Y34" s="21" t="s">
        <v>18</v>
      </c>
      <c r="Z34" s="24">
        <f t="shared" si="5"/>
        <v>0</v>
      </c>
      <c r="AA34" s="1">
        <v>127</v>
      </c>
      <c r="AB34" s="19"/>
      <c r="AC34" s="19">
        <v>4</v>
      </c>
      <c r="AD34" s="21" t="s">
        <v>18</v>
      </c>
      <c r="AE34" s="24">
        <f t="shared" si="0"/>
        <v>0</v>
      </c>
      <c r="AF34" s="10"/>
      <c r="AG34" s="6"/>
      <c r="AH34" s="6"/>
      <c r="AI34" s="6"/>
      <c r="AJ34" s="6"/>
      <c r="AK34" s="3"/>
    </row>
    <row r="35" spans="2:37" ht="18" thickBot="1" x14ac:dyDescent="0.45">
      <c r="B35" s="4"/>
      <c r="C35" s="2"/>
      <c r="D35" s="2"/>
      <c r="E35" s="12"/>
      <c r="F35" s="5"/>
      <c r="G35" s="13"/>
      <c r="H35" s="14"/>
      <c r="I35" s="14"/>
      <c r="J35" s="14"/>
      <c r="K35" s="5"/>
      <c r="L35" s="4">
        <v>32</v>
      </c>
      <c r="M35" s="18"/>
      <c r="N35" s="18" t="s">
        <v>34</v>
      </c>
      <c r="O35" s="22" t="s">
        <v>18</v>
      </c>
      <c r="P35" s="25">
        <f t="shared" si="3"/>
        <v>0</v>
      </c>
      <c r="Q35" s="2">
        <v>64</v>
      </c>
      <c r="R35" s="20"/>
      <c r="S35" s="20">
        <v>3</v>
      </c>
      <c r="T35" s="22" t="s">
        <v>18</v>
      </c>
      <c r="U35" s="24">
        <f t="shared" si="4"/>
        <v>0</v>
      </c>
      <c r="V35" s="4">
        <v>96</v>
      </c>
      <c r="W35" s="18"/>
      <c r="X35" s="18">
        <v>3</v>
      </c>
      <c r="Y35" s="22" t="s">
        <v>18</v>
      </c>
      <c r="Z35" s="25">
        <f t="shared" si="5"/>
        <v>0</v>
      </c>
      <c r="AA35" s="2"/>
      <c r="AB35" s="12"/>
      <c r="AC35" s="12"/>
      <c r="AD35" s="12"/>
      <c r="AE35" s="5"/>
      <c r="AF35" s="4"/>
      <c r="AG35" s="14"/>
      <c r="AH35" s="14"/>
      <c r="AI35" s="14"/>
      <c r="AJ35" s="14"/>
      <c r="AK35" s="5"/>
    </row>
    <row r="36" spans="2:37" x14ac:dyDescent="0.4">
      <c r="B36" t="s">
        <v>53</v>
      </c>
    </row>
    <row r="37" spans="2:37" x14ac:dyDescent="0.4">
      <c r="B37" t="s">
        <v>57</v>
      </c>
    </row>
  </sheetData>
  <sheetProtection algorithmName="SHA-512" hashValue="8yM55Ew1oDSBMh4Z+rIgmfW8iorvQJM7SjlA/sZ6d6VhJz4czpUjRvgesfdUwy7i3RklAIDa6hNwpaJuBKiFaA==" saltValue="MZlSrjTwA3p/NDeysxJVRQ==" spinCount="100000" sheet="1" scenarios="1" formatCells="0"/>
  <mergeCells count="15">
    <mergeCell ref="AM19:AN20"/>
    <mergeCell ref="AM14:AN14"/>
    <mergeCell ref="AM10:AN10"/>
    <mergeCell ref="AM18:AN18"/>
    <mergeCell ref="AM3:AN4"/>
    <mergeCell ref="AM7:AN8"/>
    <mergeCell ref="AM11:AN12"/>
    <mergeCell ref="AM15:AN16"/>
    <mergeCell ref="B2:F2"/>
    <mergeCell ref="V2:AE2"/>
    <mergeCell ref="AF2:AK2"/>
    <mergeCell ref="AM2:AN2"/>
    <mergeCell ref="AM6:AN6"/>
    <mergeCell ref="G2:K2"/>
    <mergeCell ref="L2:U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계산_1_1">
                <anchor moveWithCells="1">
                  <from>
                    <xdr:col>40</xdr:col>
                    <xdr:colOff>22860</xdr:colOff>
                    <xdr:row>1</xdr:row>
                    <xdr:rowOff>190500</xdr:rowOff>
                  </from>
                  <to>
                    <xdr:col>41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리셋">
                <anchor moveWithCells="1" sizeWithCells="1">
                  <from>
                    <xdr:col>41</xdr:col>
                    <xdr:colOff>297180</xdr:colOff>
                    <xdr:row>2</xdr:row>
                    <xdr:rowOff>7620</xdr:rowOff>
                  </from>
                  <to>
                    <xdr:col>42</xdr:col>
                    <xdr:colOff>670560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locked="0" defaultSize="0" print="0" autoFill="0" autoPict="0" macro="[0]!계산_1_2">
                <anchor moveWithCells="1">
                  <from>
                    <xdr:col>40</xdr:col>
                    <xdr:colOff>0</xdr:colOff>
                    <xdr:row>5</xdr:row>
                    <xdr:rowOff>198120</xdr:rowOff>
                  </from>
                  <to>
                    <xdr:col>40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locked="0" defaultSize="0" print="0" autoFill="0" autoPict="0" macro="[0]!계산_2_1">
                <anchor moveWithCells="1">
                  <from>
                    <xdr:col>40</xdr:col>
                    <xdr:colOff>7620</xdr:colOff>
                    <xdr:row>9</xdr:row>
                    <xdr:rowOff>190500</xdr:rowOff>
                  </from>
                  <to>
                    <xdr:col>41</xdr:col>
                    <xdr:colOff>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계산_2_2">
                <anchor moveWithCells="1">
                  <from>
                    <xdr:col>40</xdr:col>
                    <xdr:colOff>0</xdr:colOff>
                    <xdr:row>14</xdr:row>
                    <xdr:rowOff>0</xdr:rowOff>
                  </from>
                  <to>
                    <xdr:col>40</xdr:col>
                    <xdr:colOff>655320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계산_2_3">
                <anchor moveWithCells="1">
                  <from>
                    <xdr:col>40</xdr:col>
                    <xdr:colOff>7620</xdr:colOff>
                    <xdr:row>17</xdr:row>
                    <xdr:rowOff>198120</xdr:rowOff>
                  </from>
                  <to>
                    <xdr:col>41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Hyo</dc:creator>
  <cp:lastModifiedBy>User</cp:lastModifiedBy>
  <cp:lastPrinted>2022-10-26T06:01:49Z</cp:lastPrinted>
  <dcterms:created xsi:type="dcterms:W3CDTF">2022-10-26T04:33:42Z</dcterms:created>
  <dcterms:modified xsi:type="dcterms:W3CDTF">2023-03-16T08:41:36Z</dcterms:modified>
</cp:coreProperties>
</file>